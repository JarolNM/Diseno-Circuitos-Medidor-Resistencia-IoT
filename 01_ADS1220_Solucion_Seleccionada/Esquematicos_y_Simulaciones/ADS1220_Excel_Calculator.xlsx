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media/image1.gif" ContentType="image/gif"/>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able of Contents" sheetId="1" state="visible" r:id="rId3"/>
    <sheet name="Register Map" sheetId="2" state="visible" r:id="rId4"/>
    <sheet name="(RegMap)" sheetId="3" state="hidden" r:id="rId5"/>
    <sheet name="PGA Common-Mode Range" sheetId="4" state="visible" r:id="rId6"/>
    <sheet name="Code-to-Voltage Conversion" sheetId="5" state="visible" r:id="rId7"/>
    <sheet name="Code-to-Temperature Conversion" sheetId="6" state="visible" r:id="rId8"/>
    <sheet name="Commands" sheetId="7" state="visible" r:id="rId9"/>
    <sheet name="About" sheetId="8" state="visible" r:id="rId10"/>
    <sheet name="Help" sheetId="9" state="visible" r:id="rId11"/>
  </sheets>
  <externalReferences>
    <externalReference r:id="rId12"/>
    <externalReference r:id="rId13"/>
    <externalReference r:id="rId14"/>
  </externalReferences>
  <definedNames>
    <definedName function="false" hidden="false" name="ADC_Noise_µVRMS" vbProcedure="false">'[1]System Noise Est.'!$C$33</definedName>
    <definedName function="false" hidden="false" name="FIR_BYPASSED" vbProcedure="false">'[2]Digital Filter'!$T$84</definedName>
    <definedName function="false" hidden="false" name="FSCAL" vbProcedure="false">[3]Calibration!$G$20</definedName>
    <definedName function="false" hidden="false" name="FSC_Decimal" vbProcedure="false">[3]Calibration!$C$57</definedName>
    <definedName function="false" hidden="false" name="FSR_Multiplier" vbProcedure="false">'[3]Code Conversions'!$C$59</definedName>
    <definedName function="false" hidden="false" name="OFCAL" vbProcedure="false">[3]Calibration!$G$19</definedName>
    <definedName function="false" hidden="false" name="Offset_Voltage_V" vbProcedure="false">[3]Calibration!$G$49</definedName>
    <definedName function="false" hidden="false" name="RREG_COMMAND" vbProcedure="false">'(RegMap)'!$S$20</definedName>
    <definedName function="false" hidden="false" name="WREG_COMMAND" vbProcedure="false">'(RegMap)'!$S$23</definedName>
    <definedName function="false" hidden="false" localSheetId="1" name="Bit_Num" vbProcedure="false">CELL("contents",INDIRECT(ADDRESS(ROW('Register Map'!$E$17),COLUMN())))</definedName>
    <definedName function="false" hidden="false" localSheetId="1" name="DefaultRegisterValue" vbProcedure="false">IF(RIGHT(CELL("contents",INDIRECT(ADDRESS(ROW(),COLUMN('Register Map'!$D$16)))),1) = "h", LEFT(CELL("contents",INDIRECT(ADDRESS(ROW(),COLUMN('Register Map'!$D$16)))),2),CELL("contents",INDIRECT(ADDRESS(ROW(),COLUMN('Register Map'!$D$16)))))</definedName>
    <definedName function="false" hidden="false" localSheetId="1" name="ValueBelowCurrentCell" vbProcedure="false">CELL("contents",INDIRECT(ADDRESS(ROW()+1, COLUMN())))</definedName>
    <definedName function="false" hidden="false" localSheetId="3" name="AVDD" vbProcedure="false">'PGA Common-Mode Range'!$E$43</definedName>
    <definedName function="false" hidden="false" localSheetId="3" name="AVSS" vbProcedure="false">'PGA Common-Mode Range'!$E$44</definedName>
    <definedName function="false" hidden="false" localSheetId="3" name="FSR_MULT" vbProcedure="false">'PGA Common-Mode Range'!$E$72</definedName>
    <definedName function="false" hidden="false" localSheetId="3" name="HIDE_ERROR_X" vbProcedure="false">'PGA Common-Mode Range'!$O$76</definedName>
    <definedName function="false" hidden="false" localSheetId="3" name="INPUT_MODE" vbProcedure="false">'PGA Common-Mode Range'!$D$18</definedName>
    <definedName function="false" hidden="false" localSheetId="3" name="MID_SUPPLY" vbProcedure="false">'PGA Common-Mode Range'!$E$66</definedName>
    <definedName function="false" hidden="false" localSheetId="3" name="PGA_Gain" vbProcedure="false">'PGA Common-Mode Range'!$E$63</definedName>
    <definedName function="false" hidden="false" localSheetId="3" name="POS_FULL_SCALE" vbProcedure="false">'PGA Common-Mode Range'!$E$73</definedName>
    <definedName function="false" hidden="false" localSheetId="3" name="SC_Gain" vbProcedure="false">'PGA Common-Mode Range'!$E$64</definedName>
    <definedName function="false" hidden="false" localSheetId="3" name="SHOW_ERROR_X" vbProcedure="false">'PGA Common-Mode Range'!$O$75</definedName>
    <definedName function="false" hidden="false" localSheetId="3" name="Swing_to_Rail" vbProcedure="false">'PGA Common-Mode Range'!$E$67</definedName>
    <definedName function="false" hidden="false" localSheetId="3" name="Total_Gain" vbProcedure="false">'PGA Common-Mode Range'!$E$65</definedName>
    <definedName function="false" hidden="false" localSheetId="3" name="User_Selected_Gain" vbProcedure="false">'PGA Common-Mode Range'!$E$42</definedName>
    <definedName function="false" hidden="false" localSheetId="3" name="VCM" vbProcedure="false">'PGA Common-Mode Range'!$E$68</definedName>
    <definedName function="false" hidden="false" localSheetId="3" name="VINN" vbProcedure="false">'PGA Common-Mode Range'!$E$48</definedName>
    <definedName function="false" hidden="false" localSheetId="3" name="VINP" vbProcedure="false">'PGA Common-Mode Range'!$E$47</definedName>
    <definedName function="false" hidden="false" localSheetId="3" name="VIN_DIFF" vbProcedure="false">'PGA Common-Mode Range'!$E$69</definedName>
    <definedName function="false" hidden="false" localSheetId="3" name="VIN_DIFF_MAX" vbProcedure="false">'PGA Common-Mode Range'!$E$70</definedName>
    <definedName function="false" hidden="false" localSheetId="3" name="VOUTN" vbProcedure="false">'PGA Common-Mode Range'!$E$75</definedName>
    <definedName function="false" hidden="false" localSheetId="3" name="VOUTN_CLAMP" vbProcedure="false">'PGA Common-Mode Range'!$E$77</definedName>
    <definedName function="false" hidden="false" localSheetId="3" name="VOUTP" vbProcedure="false">'PGA Common-Mode Range'!$E$74</definedName>
    <definedName function="false" hidden="false" localSheetId="3" name="VOUTP_CLAMP" vbProcedure="false">'PGA Common-Mode Range'!$E$76</definedName>
    <definedName function="false" hidden="false" localSheetId="3" name="VOUT_CM_CLAMPED" vbProcedure="false">'PGA Common-Mode Range'!$E$79</definedName>
    <definedName function="false" hidden="false" localSheetId="3" name="VOUT_DIFF_CLAMPED" vbProcedure="false">'PGA Common-Mode Range'!$E$78</definedName>
    <definedName function="false" hidden="false" localSheetId="3" name="VREF" vbProcedure="false">'PGA Common-Mode Range'!$E$71</definedName>
    <definedName function="false" hidden="false" localSheetId="3" name="VREFN" vbProcedure="false">'PGA Common-Mode Range'!$E$46</definedName>
    <definedName function="false" hidden="false" localSheetId="3" name="VREFP" vbProcedure="false">'PGA Common-Mode Range'!$E$45</definedName>
    <definedName function="false" hidden="false" localSheetId="4" name="Code" vbProcedure="false">'Code-to-Voltage Conversion'!$C$33</definedName>
    <definedName function="false" hidden="false" localSheetId="4" name="Decimal_Value" vbProcedure="false">'Code-to-Voltage Conversion'!$G$35</definedName>
    <definedName function="false" hidden="false" localSheetId="4" name="DEVICE" vbProcedure="false">'code-to-voltage conversion'!#ref!</definedName>
    <definedName function="false" hidden="false" localSheetId="4" name="FSR_Multiplier" vbProcedure="false">'Code-to-Voltage Conversion'!$C$49</definedName>
    <definedName function="false" hidden="false" localSheetId="4" name="Input_Range" vbProcedure="false">'Code-to-Voltage Conversion'!$G$9</definedName>
    <definedName function="false" hidden="false" localSheetId="4" name="Input_Type" vbProcedure="false">'Code-to-Voltage Conversion'!$C$34</definedName>
    <definedName function="false" hidden="false" localSheetId="4" name="In_Range?" vbProcedure="false">'Code-to-Voltage Conversion'!$C$45</definedName>
    <definedName function="false" hidden="false" localSheetId="4" name="Is_Number?" vbProcedure="false">'Code-to-Voltage Conversion'!$C$44</definedName>
    <definedName function="false" hidden="false" localSheetId="4" name="LSB_Size_V" vbProcedure="false">'Code-to-Voltage Conversion'!$C$51</definedName>
    <definedName function="false" hidden="false" localSheetId="4" name="Max_Code_Decimal" vbProcedure="false">'Code-to-Voltage Conversion'!$C$43</definedName>
    <definedName function="false" hidden="false" localSheetId="4" name="Max_Code_Hex" vbProcedure="false">'Code-to-Voltage Conversion'!$D$43</definedName>
    <definedName function="false" hidden="false" localSheetId="4" name="Min_Code_Decimal" vbProcedure="false">'Code-to-Voltage Conversion'!$C$42</definedName>
    <definedName function="false" hidden="false" localSheetId="4" name="Min_Code_Hex" vbProcedure="false">'Code-to-Voltage Conversion'!$D$42</definedName>
    <definedName function="false" hidden="false" localSheetId="4" name="Number_of_hex_digits" vbProcedure="false">'Code-to-Voltage Conversion'!$C$40</definedName>
    <definedName function="false" hidden="false" localSheetId="4" name="Num_Bits" vbProcedure="false">'Code-to-Voltage Conversion'!$C$39</definedName>
    <definedName function="false" hidden="false" localSheetId="4" name="Valid?" vbProcedure="false">'Code-to-Voltage Conversion'!$C$46</definedName>
    <definedName function="false" hidden="false" localSheetId="4" name="Voltage_Out_of_Range?" vbProcedure="false">'Code-to-Voltage Conversion'!$G$43</definedName>
    <definedName function="false" hidden="false" localSheetId="5" name="LSB_Size_V" vbProcedure="false">'Code-to-Temperature Conversion'!$J$42</definedName>
    <definedName function="false" hidden="false" localSheetId="5" name="Max_Code_Decimal" vbProcedure="false">'Code-to-Temperature Conversion'!$C$17</definedName>
    <definedName function="false" hidden="false" localSheetId="5" name="Max_Code_Hex" vbProcedure="false">'Code-to-Temperature Conversion'!$D$17</definedName>
    <definedName function="false" hidden="false" localSheetId="5" name="Min_Code_Decimal" vbProcedure="false">'Code-to-Temperature Conversion'!$C$16</definedName>
    <definedName function="false" hidden="false" localSheetId="5" name="Min_Code_Hex" vbProcedure="false">'Code-to-Temperature Conversion'!$D$16</definedName>
    <definedName function="false" hidden="false" localSheetId="6" name="Bit_Num" vbProcedure="false">CELL("contents",INDIRECT(ADDRESS(ROW(commands!#ref!),COLUMN())))</definedName>
    <definedName function="false" hidden="false" localSheetId="6" name="DefaultRegisterValue" vbProcedure="false">IF(RIGHT(CELL("contents",INDIRECT(ADDRESS(ROW(),COLUMN(commands!#ref!)))),1) = "h", LEFT(CELL("contents",INDIRECT(ADDRESS(ROW(),COLUMN(commands!#ref!)))),2),CELL("contents",INDIRECT(ADDRESS(ROW(),COLUMN(commands!#ref!)))))</definedName>
    <definedName function="false" hidden="false" localSheetId="6" name="ValueBelowCurrentCell" vbProcedure="false">CELL("contents",INDIRECT(ADDRESS(ROW()+1, COLUMN())))</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<sst xmlns="http://schemas.openxmlformats.org/spreadsheetml/2006/main" count="590" uniqueCount="453">
  <si>
    <t xml:space="preserve">Worksheets</t>
  </si>
  <si>
    <t xml:space="preserve">Description</t>
  </si>
  <si>
    <t xml:space="preserve">Register Map</t>
  </si>
  <si>
    <t xml:space="preserve">Lists the ADS1220 register map fields, descriptions, and the corresponding read/write commands</t>
  </si>
  <si>
    <t xml:space="preserve">PGA Common-Mode Range</t>
  </si>
  <si>
    <t xml:space="preserve">Calculates if a given set of input voltages are within the PGA's input range limitations</t>
  </si>
  <si>
    <t xml:space="preserve">Code-to-Voltage Conversion</t>
  </si>
  <si>
    <t xml:space="preserve">Converts ADC codes to their corresponding voltages</t>
  </si>
  <si>
    <t xml:space="preserve">Code-to-Temperature Conversion</t>
  </si>
  <si>
    <t xml:space="preserve">Converts the integrated temp sensor output codes to their corresponsing temperatures</t>
  </si>
  <si>
    <t xml:space="preserve">Commands</t>
  </si>
  <si>
    <t xml:space="preserve">Identify the correct command byte for all available commands</t>
  </si>
  <si>
    <t xml:space="preserve">About</t>
  </si>
  <si>
    <t xml:space="preserve">Information about this tool</t>
  </si>
  <si>
    <t xml:space="preserve">Help</t>
  </si>
  <si>
    <t xml:space="preserve">Documentation and supporting links</t>
  </si>
  <si>
    <t xml:space="preserve">Table of Contents</t>
  </si>
  <si>
    <t xml:space="preserve">Legend</t>
  </si>
  <si>
    <t xml:space="preserve">Input =</t>
  </si>
  <si>
    <t xml:space="preserve">#</t>
  </si>
  <si>
    <t xml:space="preserve">Result =</t>
  </si>
  <si>
    <t xml:space="preserve">Static Value =</t>
  </si>
  <si>
    <t xml:space="preserve">Logic High =</t>
  </si>
  <si>
    <t xml:space="preserve">Logic Low =</t>
  </si>
  <si>
    <t xml:space="preserve">Non-Default =</t>
  </si>
  <si>
    <t xml:space="preserve">Configure register  settings  </t>
  </si>
  <si>
    <t xml:space="preserve">Address
(Hex)</t>
  </si>
  <si>
    <t xml:space="preserve">Read / 
Write</t>
  </si>
  <si>
    <t xml:space="preserve">Default
(Hex)</t>
  </si>
  <si>
    <t xml:space="preserve">Bit #</t>
  </si>
  <si>
    <t xml:space="preserve">Value</t>
  </si>
  <si>
    <t xml:space="preserve">Read
Command</t>
  </si>
  <si>
    <t xml:space="preserve">Write
Command</t>
  </si>
  <si>
    <t xml:space="preserve">R/W</t>
  </si>
  <si>
    <t xml:space="preserve">00h</t>
  </si>
  <si>
    <t xml:space="preserve">MUX[3:0]</t>
  </si>
  <si>
    <t xml:space="preserve">GAIN[2:0]</t>
  </si>
  <si>
    <t xml:space="preserve">PGA_BYPASS</t>
  </si>
  <si>
    <t xml:space="preserve">20h</t>
  </si>
  <si>
    <t xml:space="preserve"> AINP = AIN1, AINN = AIN2</t>
  </si>
  <si>
    <t xml:space="preserve">128 V/V</t>
  </si>
  <si>
    <t xml:space="preserve">PGA enabled (default)</t>
  </si>
  <si>
    <t xml:space="preserve">DR[2:0]</t>
  </si>
  <si>
    <t xml:space="preserve">MODE[1:0]</t>
  </si>
  <si>
    <t xml:space="preserve">CM</t>
  </si>
  <si>
    <t xml:space="preserve">TS</t>
  </si>
  <si>
    <t xml:space="preserve">BCS</t>
  </si>
  <si>
    <t xml:space="preserve">24h</t>
  </si>
  <si>
    <t xml:space="preserve"> 20 SPS (default)</t>
  </si>
  <si>
    <t xml:space="preserve">Duty-cycle mode</t>
  </si>
  <si>
    <t xml:space="preserve"> Single-shot mode (default)</t>
  </si>
  <si>
    <t xml:space="preserve">Disables temp sensor (default)</t>
  </si>
  <si>
    <t xml:space="preserve">Current sources off (default)</t>
  </si>
  <si>
    <t xml:space="preserve">VREF[1:0]</t>
  </si>
  <si>
    <t xml:space="preserve">50/60[1:0]</t>
  </si>
  <si>
    <t xml:space="preserve">PSW</t>
  </si>
  <si>
    <t xml:space="preserve">IDAC[2:0]</t>
  </si>
  <si>
    <t xml:space="preserve">28h</t>
  </si>
  <si>
    <t xml:space="preserve">External reference using REFP0 and REFN0 inputs</t>
  </si>
  <si>
    <t xml:space="preserve">No 50-Hz or 60-Hz rejection (default)</t>
  </si>
  <si>
    <t xml:space="preserve">Switch is always open (default)</t>
  </si>
  <si>
    <t xml:space="preserve">1500 µA</t>
  </si>
  <si>
    <t xml:space="preserve">I1MUX[2:0]</t>
  </si>
  <si>
    <t xml:space="preserve">I2MUX[2:0]</t>
  </si>
  <si>
    <t xml:space="preserve">DRDYM</t>
  </si>
  <si>
    <t xml:space="preserve">---</t>
  </si>
  <si>
    <t xml:space="preserve">2Ch</t>
  </si>
  <si>
    <t xml:space="preserve">IDAC1 connected to REFP0</t>
  </si>
  <si>
    <t xml:space="preserve">IDAC2 connected to AIN0/REFP1</t>
  </si>
  <si>
    <t xml:space="preserve">Dedicated DRDY pin only (default)</t>
  </si>
  <si>
    <t xml:space="preserve">Reserved</t>
  </si>
  <si>
    <t xml:space="preserve">From Reg Map</t>
  </si>
  <si>
    <t xml:space="preserve">Calculated (to Reg Map)</t>
  </si>
  <si>
    <t xml:space="preserve">Useful Formulas</t>
  </si>
  <si>
    <t xml:space="preserve">ValueBelowCurrentCell</t>
  </si>
  <si>
    <t xml:space="preserve">CELL("contents",INDIRECT(ADDRESS(ROW()+1, COLUMN())))</t>
  </si>
  <si>
    <t xml:space="preserve">Bit 3</t>
  </si>
  <si>
    <t xml:space="preserve">Bit 2</t>
  </si>
  <si>
    <t xml:space="preserve">Bit 1</t>
  </si>
  <si>
    <t xml:space="preserve">Bit 0</t>
  </si>
  <si>
    <t xml:space="preserve">DefaultRegisterValue</t>
  </si>
  <si>
    <t xml:space="preserve">Internal 2.048-V reference (default)</t>
  </si>
  <si>
    <t xml:space="preserve">'CELL("contents",INDIRECT(ADDRESS(ROW(),COLUMN($E$11))))</t>
  </si>
  <si>
    <t xml:space="preserve">IDAC1 disabled (default)</t>
  </si>
  <si>
    <t xml:space="preserve"> AINP = AIN0, AINN = AIN1 (default)</t>
  </si>
  <si>
    <t xml:space="preserve">External reference using AIN0/REFP1 and AIN3/REFN1 inputs</t>
  </si>
  <si>
    <t xml:space="preserve">IDAC1 connected to AIN0/REFP1</t>
  </si>
  <si>
    <t xml:space="preserve">Bit_Num</t>
  </si>
  <si>
    <t xml:space="preserve"> AINP = AIN0, AINN = AIN2</t>
  </si>
  <si>
    <t xml:space="preserve">Analog supply (AVDD – AVSS)</t>
  </si>
  <si>
    <t xml:space="preserve">IDAC1 connected to AIN1</t>
  </si>
  <si>
    <t xml:space="preserve">'CELL("contents",INDIRECT(ADDRESS(ROW('Register Map'!$F$12),COLUMN())))</t>
  </si>
  <si>
    <t xml:space="preserve"> AINP = AIN0, AINN = AIN3</t>
  </si>
  <si>
    <t xml:space="preserve">IDAC1 connected to AIN2</t>
  </si>
  <si>
    <t xml:space="preserve">IDAC1 connected to AIN3/REFN1</t>
  </si>
  <si>
    <t xml:space="preserve">Read Command (decimal)</t>
  </si>
  <si>
    <t xml:space="preserve"> AINP = AIN1, AINN = AIN3</t>
  </si>
  <si>
    <t xml:space="preserve"> AINP = AIN2, AINN = AIN3</t>
  </si>
  <si>
    <t xml:space="preserve">IDAC1 connected to REFN0</t>
  </si>
  <si>
    <t xml:space="preserve"> AINP = AIN1, AINN = AIN0</t>
  </si>
  <si>
    <t xml:space="preserve">Write Command (decimal)</t>
  </si>
  <si>
    <t xml:space="preserve"> AINP = AIN3, AINN = AIN2</t>
  </si>
  <si>
    <t xml:space="preserve"> AINP = AIN0, AINN = AVSS</t>
  </si>
  <si>
    <t xml:space="preserve">Simultaneous 50-Hz and 60-Hz rejection</t>
  </si>
  <si>
    <t xml:space="preserve"> AINP = AIN1, AINN = AVSS</t>
  </si>
  <si>
    <t xml:space="preserve">50-Hz rejection only</t>
  </si>
  <si>
    <t xml:space="preserve"> AINP = AIN2, AINN = AVSS</t>
  </si>
  <si>
    <t xml:space="preserve">60-Hz rejection only</t>
  </si>
  <si>
    <t xml:space="preserve">Device Options</t>
  </si>
  <si>
    <t xml:space="preserve"> AINP = AIN3, AINN = AVSS</t>
  </si>
  <si>
    <t xml:space="preserve">ADS124S08</t>
  </si>
  <si>
    <t xml:space="preserve"> (V(REFPx) – V(REFNx)) / 4 monitor (PGA bypassed)</t>
  </si>
  <si>
    <t xml:space="preserve">Normal mode (default)</t>
  </si>
  <si>
    <t xml:space="preserve">ADS124S06</t>
  </si>
  <si>
    <t xml:space="preserve"> (AVDD – AVSS) / 4 monitor (PGA bypassed)</t>
  </si>
  <si>
    <t xml:space="preserve">IDAC2 disabled (default)</t>
  </si>
  <si>
    <t xml:space="preserve">ADS114S08</t>
  </si>
  <si>
    <t xml:space="preserve"> AINP and AINN shorted to (AVDD + AVSS) / 2</t>
  </si>
  <si>
    <t xml:space="preserve">Turbo mode</t>
  </si>
  <si>
    <t xml:space="preserve">ADS114S06</t>
  </si>
  <si>
    <t xml:space="preserve"> Reserved</t>
  </si>
  <si>
    <t xml:space="preserve">Switch closes after START/SYNC command, opens after POWERDOWN command</t>
  </si>
  <si>
    <t xml:space="preserve">IDAC2 connected to AIN1</t>
  </si>
  <si>
    <t xml:space="preserve">IDAC2 connected to AIN2</t>
  </si>
  <si>
    <t xml:space="preserve">IDAC2 connected to AIN3/REFN1</t>
  </si>
  <si>
    <t xml:space="preserve">IDAC2 connected to REFP0</t>
  </si>
  <si>
    <t xml:space="preserve">IDAC2 connected to REFN0</t>
  </si>
  <si>
    <t xml:space="preserve">Continuous conversion mode</t>
  </si>
  <si>
    <t xml:space="preserve">1 V/V (default)</t>
  </si>
  <si>
    <t xml:space="preserve">Off (default)</t>
  </si>
  <si>
    <t xml:space="preserve">2 V/V</t>
  </si>
  <si>
    <t xml:space="preserve">10 µA</t>
  </si>
  <si>
    <t xml:space="preserve">4 V/V</t>
  </si>
  <si>
    <t xml:space="preserve">50 µA</t>
  </si>
  <si>
    <t xml:space="preserve">8 V/V</t>
  </si>
  <si>
    <t xml:space="preserve">Enables temp sensor</t>
  </si>
  <si>
    <t xml:space="preserve">100 µA</t>
  </si>
  <si>
    <t xml:space="preserve">Use both DOUT/DRDY and DRDY pins</t>
  </si>
  <si>
    <t xml:space="preserve">16 V/V</t>
  </si>
  <si>
    <t xml:space="preserve">250 µA</t>
  </si>
  <si>
    <t xml:space="preserve">32 V/V</t>
  </si>
  <si>
    <t xml:space="preserve">500 µA</t>
  </si>
  <si>
    <t xml:space="preserve">64 V/V</t>
  </si>
  <si>
    <t xml:space="preserve">1000 µA</t>
  </si>
  <si>
    <t xml:space="preserve">Current sources on</t>
  </si>
  <si>
    <t xml:space="preserve">PGA disabled and bypassed</t>
  </si>
  <si>
    <t xml:space="preserve"> 45 SPS</t>
  </si>
  <si>
    <t xml:space="preserve"> 90 SPS</t>
  </si>
  <si>
    <t xml:space="preserve"> 175 SPS</t>
  </si>
  <si>
    <t xml:space="preserve"> 330 SPS</t>
  </si>
  <si>
    <t xml:space="preserve"> 600 SPS</t>
  </si>
  <si>
    <t xml:space="preserve"> 1000 SPS</t>
  </si>
  <si>
    <t xml:space="preserve"> 5 SPS (default)</t>
  </si>
  <si>
    <t xml:space="preserve"> 11.25 SPS</t>
  </si>
  <si>
    <t xml:space="preserve"> 22.5 SPS</t>
  </si>
  <si>
    <t xml:space="preserve"> 44 SPS</t>
  </si>
  <si>
    <t xml:space="preserve"> 82.5 SPS</t>
  </si>
  <si>
    <t xml:space="preserve"> 150 SPS</t>
  </si>
  <si>
    <t xml:space="preserve"> 250 SPS</t>
  </si>
  <si>
    <t xml:space="preserve"> 40 SPS (default)</t>
  </si>
  <si>
    <t xml:space="preserve"> 180 SPS</t>
  </si>
  <si>
    <t xml:space="preserve"> 350 SPS</t>
  </si>
  <si>
    <t xml:space="preserve"> 660 SPS</t>
  </si>
  <si>
    <t xml:space="preserve"> 1200 SPS</t>
  </si>
  <si>
    <t xml:space="preserve"> 2000 SPS</t>
  </si>
  <si>
    <t xml:space="preserve">1) Configure ADC parameters</t>
  </si>
  <si>
    <t xml:space="preserve">PGA Gain</t>
  </si>
  <si>
    <t xml:space="preserve">V/V</t>
  </si>
  <si>
    <t xml:space="preserve">PGA INPUT  </t>
  </si>
  <si>
    <t xml:space="preserve">  PGA OUTPUT</t>
  </si>
  <si>
    <t xml:space="preserve">Supply Voltage(s)</t>
  </si>
  <si>
    <t xml:space="preserve">AVDD</t>
  </si>
  <si>
    <t xml:space="preserve">V</t>
  </si>
  <si>
    <t xml:space="preserve">Invalid Parameter =</t>
  </si>
  <si>
    <t xml:space="preserve">AVSS</t>
  </si>
  <si>
    <t xml:space="preserve">Reference Voltage(s)</t>
  </si>
  <si>
    <r>
      <rPr>
        <sz val="10"/>
        <color theme="1"/>
        <rFont val="Arial"/>
        <family val="2"/>
        <charset val="1"/>
      </rPr>
      <t xml:space="preserve">V</t>
    </r>
    <r>
      <rPr>
        <vertAlign val="subscript"/>
        <sz val="10"/>
        <color theme="1"/>
        <rFont val="Arial"/>
        <family val="2"/>
        <charset val="1"/>
      </rPr>
      <t xml:space="preserve">REFP</t>
    </r>
  </si>
  <si>
    <r>
      <rPr>
        <sz val="10"/>
        <color theme="1"/>
        <rFont val="Arial"/>
        <family val="2"/>
        <charset val="1"/>
      </rPr>
      <t xml:space="preserve">V</t>
    </r>
    <r>
      <rPr>
        <vertAlign val="subscript"/>
        <sz val="10"/>
        <color theme="1"/>
        <rFont val="Arial"/>
        <family val="2"/>
        <charset val="1"/>
      </rPr>
      <t xml:space="preserve">REFN</t>
    </r>
  </si>
  <si>
    <t xml:space="preserve">2) Define input voltages</t>
  </si>
  <si>
    <t xml:space="preserve">Input Voltage</t>
  </si>
  <si>
    <t xml:space="preserve">Input Mode</t>
  </si>
  <si>
    <t xml:space="preserve">Differential/CM Voltages</t>
  </si>
  <si>
    <t xml:space="preserve">3) Check for errors</t>
  </si>
  <si>
    <t xml:space="preserve">Error messages</t>
  </si>
  <si>
    <t xml:space="preserve">PGA Input</t>
  </si>
  <si>
    <t xml:space="preserve">PGA Output</t>
  </si>
  <si>
    <r>
      <rPr>
        <sz val="10"/>
        <color theme="1"/>
        <rFont val="Arial"/>
        <family val="2"/>
        <charset val="1"/>
      </rPr>
      <t xml:space="preserve">V</t>
    </r>
    <r>
      <rPr>
        <vertAlign val="subscript"/>
        <sz val="10"/>
        <color theme="1"/>
        <rFont val="Arial"/>
        <family val="2"/>
        <charset val="1"/>
      </rPr>
      <t xml:space="preserve">(AVDD-AVSS)</t>
    </r>
  </si>
  <si>
    <t xml:space="preserve">← Supply voltage(s) is out-of-range!</t>
  </si>
  <si>
    <r>
      <rPr>
        <sz val="10"/>
        <color theme="1"/>
        <rFont val="Arial"/>
        <family val="2"/>
        <charset val="1"/>
      </rPr>
      <t xml:space="preserve">V</t>
    </r>
    <r>
      <rPr>
        <vertAlign val="subscript"/>
        <sz val="10"/>
        <color theme="1"/>
        <rFont val="Arial"/>
        <family val="2"/>
        <charset val="1"/>
      </rPr>
      <t xml:space="preserve">INP</t>
    </r>
  </si>
  <si>
    <r>
      <rPr>
        <sz val="10"/>
        <color theme="1"/>
        <rFont val="Arial"/>
        <family val="2"/>
        <charset val="1"/>
      </rPr>
      <t xml:space="preserve">V</t>
    </r>
    <r>
      <rPr>
        <vertAlign val="subscript"/>
        <sz val="10"/>
        <color theme="1"/>
        <rFont val="Arial"/>
        <family val="2"/>
        <charset val="1"/>
      </rPr>
      <t xml:space="preserve">OUTP</t>
    </r>
  </si>
  <si>
    <r>
      <rPr>
        <sz val="10"/>
        <color theme="1"/>
        <rFont val="Arial"/>
        <family val="2"/>
        <charset val="1"/>
      </rPr>
      <t xml:space="preserve">V</t>
    </r>
    <r>
      <rPr>
        <vertAlign val="subscript"/>
        <sz val="10"/>
        <color theme="1"/>
        <rFont val="Arial"/>
        <family val="2"/>
        <charset val="1"/>
      </rPr>
      <t xml:space="preserve">(REFP-REFN)</t>
    </r>
  </si>
  <si>
    <t xml:space="preserve">← Reference voltage(s) is out-of-range!</t>
  </si>
  <si>
    <r>
      <rPr>
        <sz val="10"/>
        <color theme="1"/>
        <rFont val="Arial"/>
        <family val="2"/>
        <charset val="1"/>
      </rPr>
      <t xml:space="preserve">V</t>
    </r>
    <r>
      <rPr>
        <vertAlign val="subscript"/>
        <sz val="10"/>
        <color theme="1"/>
        <rFont val="Arial"/>
        <family val="2"/>
        <charset val="1"/>
      </rPr>
      <t xml:space="preserve">INN</t>
    </r>
  </si>
  <si>
    <r>
      <rPr>
        <sz val="10"/>
        <color theme="1"/>
        <rFont val="Arial"/>
        <family val="2"/>
        <charset val="1"/>
      </rPr>
      <t xml:space="preserve">V</t>
    </r>
    <r>
      <rPr>
        <vertAlign val="subscript"/>
        <sz val="10"/>
        <color theme="1"/>
        <rFont val="Arial"/>
        <family val="2"/>
        <charset val="1"/>
      </rPr>
      <t xml:space="preserve">OUTN</t>
    </r>
  </si>
  <si>
    <r>
      <rPr>
        <sz val="10"/>
        <color theme="1"/>
        <rFont val="Arial"/>
        <family val="2"/>
        <charset val="1"/>
      </rPr>
      <t xml:space="preserve">V</t>
    </r>
    <r>
      <rPr>
        <vertAlign val="subscript"/>
        <sz val="10"/>
        <color theme="1"/>
        <rFont val="Arial"/>
        <family val="2"/>
        <charset val="1"/>
      </rPr>
      <t xml:space="preserve">IN_DIFF</t>
    </r>
  </si>
  <si>
    <r>
      <rPr>
        <sz val="10"/>
        <color theme="1"/>
        <rFont val="Arial"/>
        <family val="2"/>
        <charset val="1"/>
      </rPr>
      <t xml:space="preserve">V</t>
    </r>
    <r>
      <rPr>
        <vertAlign val="subscript"/>
        <sz val="10"/>
        <color theme="1"/>
        <rFont val="Arial"/>
        <family val="2"/>
        <charset val="1"/>
      </rPr>
      <t xml:space="preserve">OUT_DIFF</t>
    </r>
  </si>
  <si>
    <r>
      <rPr>
        <sz val="10"/>
        <color theme="0"/>
        <rFont val="Arial"/>
        <family val="2"/>
        <charset val="1"/>
      </rPr>
      <t xml:space="preserve">←</t>
    </r>
    <r>
      <rPr>
        <i val="true"/>
        <sz val="10"/>
        <color theme="0"/>
        <rFont val="Arial"/>
        <family val="2"/>
        <charset val="1"/>
      </rPr>
      <t xml:space="preserve"> Positive input voltage is out-of-range!</t>
    </r>
  </si>
  <si>
    <r>
      <rPr>
        <sz val="10"/>
        <color theme="1"/>
        <rFont val="Arial"/>
        <family val="2"/>
        <charset val="1"/>
      </rPr>
      <t xml:space="preserve">V</t>
    </r>
    <r>
      <rPr>
        <vertAlign val="subscript"/>
        <sz val="10"/>
        <color theme="1"/>
        <rFont val="Arial"/>
        <family val="2"/>
        <charset val="1"/>
      </rPr>
      <t xml:space="preserve">IN_CM</t>
    </r>
  </si>
  <si>
    <r>
      <rPr>
        <sz val="10"/>
        <color theme="1"/>
        <rFont val="Arial"/>
        <family val="2"/>
        <charset val="1"/>
      </rPr>
      <t xml:space="preserve">V</t>
    </r>
    <r>
      <rPr>
        <vertAlign val="subscript"/>
        <sz val="10"/>
        <color theme="1"/>
        <rFont val="Arial"/>
        <family val="2"/>
        <charset val="1"/>
      </rPr>
      <t xml:space="preserve">OUT_CM</t>
    </r>
  </si>
  <si>
    <r>
      <rPr>
        <sz val="10"/>
        <color theme="0"/>
        <rFont val="Arial"/>
        <family val="2"/>
        <charset val="1"/>
      </rPr>
      <t xml:space="preserve">←</t>
    </r>
    <r>
      <rPr>
        <i val="true"/>
        <sz val="10"/>
        <color theme="0"/>
        <rFont val="Arial"/>
        <family val="2"/>
        <charset val="1"/>
      </rPr>
      <t xml:space="preserve"> Negative input voltage is out-of-range!</t>
    </r>
  </si>
  <si>
    <r>
      <rPr>
        <sz val="11"/>
        <rFont val="Arial"/>
        <family val="2"/>
        <charset val="1"/>
      </rPr>
      <t xml:space="preserve">↓ CM Range </t>
    </r>
    <r>
      <rPr>
        <i val="true"/>
        <sz val="11"/>
        <rFont val="Arial"/>
        <family val="2"/>
        <charset val="1"/>
      </rPr>
      <t xml:space="preserve">Calculations  ↓</t>
    </r>
  </si>
  <si>
    <t xml:space="preserve">Plot Data</t>
  </si>
  <si>
    <t xml:space="preserve">Input Modes</t>
  </si>
  <si>
    <t xml:space="preserve">Label 1</t>
  </si>
  <si>
    <t xml:space="preserve">Label 2</t>
  </si>
  <si>
    <t xml:space="preserve">Absolute Voltages</t>
  </si>
  <si>
    <r>
      <rPr>
        <sz val="11"/>
        <color theme="1"/>
        <rFont val="Arial"/>
        <family val="2"/>
        <charset val="1"/>
      </rPr>
      <t xml:space="preserve">V</t>
    </r>
    <r>
      <rPr>
        <vertAlign val="subscript"/>
        <sz val="11"/>
        <color theme="1"/>
        <rFont val="Arial"/>
        <family val="2"/>
        <charset val="1"/>
      </rPr>
      <t xml:space="preserve">INP</t>
    </r>
  </si>
  <si>
    <r>
      <rPr>
        <sz val="11"/>
        <color theme="1"/>
        <rFont val="Arial"/>
        <family val="2"/>
        <charset val="1"/>
      </rPr>
      <t xml:space="preserve">V</t>
    </r>
    <r>
      <rPr>
        <vertAlign val="subscript"/>
        <sz val="11"/>
        <color theme="1"/>
        <rFont val="Arial"/>
        <family val="2"/>
        <charset val="1"/>
      </rPr>
      <t xml:space="preserve">INN</t>
    </r>
  </si>
  <si>
    <t xml:space="preserve">X</t>
  </si>
  <si>
    <t xml:space="preserve">Y</t>
  </si>
  <si>
    <r>
      <rPr>
        <sz val="11"/>
        <color theme="1"/>
        <rFont val="Arial"/>
        <family val="2"/>
        <charset val="1"/>
      </rPr>
      <t xml:space="preserve">V</t>
    </r>
    <r>
      <rPr>
        <vertAlign val="subscript"/>
        <sz val="11"/>
        <color theme="1"/>
        <rFont val="Arial"/>
        <family val="2"/>
        <charset val="1"/>
      </rPr>
      <t xml:space="preserve">IN_DIFF</t>
    </r>
  </si>
  <si>
    <r>
      <rPr>
        <sz val="11"/>
        <color theme="1"/>
        <rFont val="Arial"/>
        <family val="2"/>
        <charset val="1"/>
      </rPr>
      <t xml:space="preserve">V</t>
    </r>
    <r>
      <rPr>
        <vertAlign val="subscript"/>
        <sz val="11"/>
        <color theme="1"/>
        <rFont val="Arial"/>
        <family val="2"/>
        <charset val="1"/>
      </rPr>
      <t xml:space="preserve">IN_CM</t>
    </r>
  </si>
  <si>
    <t xml:space="preserve">Center Line</t>
  </si>
  <si>
    <t xml:space="preserve">Values</t>
  </si>
  <si>
    <t xml:space="preserve">Selected Gain</t>
  </si>
  <si>
    <t xml:space="preserve">* These values are provided by the user, expect VINP/VINN which are computed when user specifies the input signal as a differential + CM voltage</t>
  </si>
  <si>
    <t xml:space="preserve">VREFP</t>
  </si>
  <si>
    <t xml:space="preserve">VREFN</t>
  </si>
  <si>
    <t xml:space="preserve">VINP</t>
  </si>
  <si>
    <t xml:space="preserve">VINN</t>
  </si>
  <si>
    <t xml:space="preserve">Gain Look-up Table</t>
  </si>
  <si>
    <t xml:space="preserve">Gain</t>
  </si>
  <si>
    <t xml:space="preserve">SC Gain</t>
  </si>
  <si>
    <t xml:space="preserve">Diff I/P</t>
  </si>
  <si>
    <t xml:space="preserve">BYPASSED</t>
  </si>
  <si>
    <t xml:space="preserve">VOUTP</t>
  </si>
  <si>
    <t xml:space="preserve">VOUTN</t>
  </si>
  <si>
    <t xml:space="preserve">Diff O/P</t>
  </si>
  <si>
    <t xml:space="preserve">+ I/P to O/P</t>
  </si>
  <si>
    <t xml:space="preserve">Calculations</t>
  </si>
  <si>
    <t xml:space="preserve">Arrow</t>
  </si>
  <si>
    <t xml:space="preserve">- I/P to O/P</t>
  </si>
  <si>
    <t xml:space="preserve">Total Gain</t>
  </si>
  <si>
    <t xml:space="preserve">Mid-supply</t>
  </si>
  <si>
    <t xml:space="preserve">+ I/P Limit</t>
  </si>
  <si>
    <t xml:space="preserve">Swing-to-Rail</t>
  </si>
  <si>
    <t xml:space="preserve">VCM</t>
  </si>
  <si>
    <t xml:space="preserve">- I/P Limit</t>
  </si>
  <si>
    <t xml:space="preserve">VIN_DIFF</t>
  </si>
  <si>
    <t xml:space="preserve">VIN_DIFF_MAX</t>
  </si>
  <si>
    <t xml:space="preserve">* Vin_diff is limited by either the FSR, or the effective input swing divided by gain</t>
  </si>
  <si>
    <t xml:space="preserve">+ O/P Limit</t>
  </si>
  <si>
    <t xml:space="preserve">VREF</t>
  </si>
  <si>
    <t xml:space="preserve">FSR Multiplier</t>
  </si>
  <si>
    <t xml:space="preserve">- O/P Limit</t>
  </si>
  <si>
    <t xml:space="preserve">Positive Full-Scale O/P</t>
  </si>
  <si>
    <t xml:space="preserve">VOUTP_Calculated</t>
  </si>
  <si>
    <t xml:space="preserve">* Calculated values are theorical, assuming no output voltage limations</t>
  </si>
  <si>
    <t xml:space="preserve">VOUTN_Calculated</t>
  </si>
  <si>
    <t xml:space="preserve">Error Show X</t>
  </si>
  <si>
    <t xml:space="preserve">VOUTP_Clamped</t>
  </si>
  <si>
    <t xml:space="preserve">* Clamped values include the pga output swing limitations</t>
  </si>
  <si>
    <t xml:space="preserve">Error Hide X</t>
  </si>
  <si>
    <t xml:space="preserve">VOUTN_Clamped</t>
  </si>
  <si>
    <t xml:space="preserve">VOUT_DIFF_Clamped</t>
  </si>
  <si>
    <t xml:space="preserve">VREF+</t>
  </si>
  <si>
    <t xml:space="preserve">VOUT_CM_Clamped</t>
  </si>
  <si>
    <t xml:space="preserve">VREF-</t>
  </si>
  <si>
    <t xml:space="preserve">Absolute Input Voltage Range</t>
  </si>
  <si>
    <t xml:space="preserve">* Limited by output swing to rail and max differential input…</t>
  </si>
  <si>
    <r>
      <rPr>
        <sz val="11"/>
        <color theme="1"/>
        <rFont val="Arial"/>
        <family val="2"/>
        <charset val="1"/>
      </rPr>
      <t xml:space="preserve">IN</t>
    </r>
    <r>
      <rPr>
        <vertAlign val="subscript"/>
        <sz val="11"/>
        <color theme="1"/>
        <rFont val="Arial"/>
        <family val="2"/>
        <charset val="1"/>
      </rPr>
      <t xml:space="preserve">P_UPPER_LIMIT</t>
    </r>
    <r>
      <rPr>
        <sz val="11"/>
        <color theme="1"/>
        <rFont val="Arial"/>
        <family val="2"/>
        <charset val="1"/>
      </rPr>
      <t xml:space="preserve"> =</t>
    </r>
  </si>
  <si>
    <t xml:space="preserve">VINP_MAX that results in VOUTP saturating to positive rail</t>
  </si>
  <si>
    <t xml:space="preserve">VREF_diff</t>
  </si>
  <si>
    <r>
      <rPr>
        <sz val="11"/>
        <color theme="1"/>
        <rFont val="Arial"/>
        <family val="2"/>
        <charset val="1"/>
      </rPr>
      <t xml:space="preserve">IN</t>
    </r>
    <r>
      <rPr>
        <vertAlign val="subscript"/>
        <sz val="11"/>
        <color theme="1"/>
        <rFont val="Arial"/>
        <family val="2"/>
        <charset val="1"/>
      </rPr>
      <t xml:space="preserve">P_LOWER_LIMIT</t>
    </r>
    <r>
      <rPr>
        <sz val="11"/>
        <color theme="1"/>
        <rFont val="Arial"/>
        <family val="2"/>
        <charset val="1"/>
      </rPr>
      <t xml:space="preserve"> =</t>
    </r>
  </si>
  <si>
    <t xml:space="preserve">VINP_MAX that results in VOUTN saturating to negative rail, clamped</t>
  </si>
  <si>
    <r>
      <rPr>
        <sz val="11"/>
        <color theme="1"/>
        <rFont val="Arial"/>
        <family val="2"/>
        <charset val="1"/>
      </rPr>
      <t xml:space="preserve">IN</t>
    </r>
    <r>
      <rPr>
        <vertAlign val="subscript"/>
        <sz val="11"/>
        <color theme="1"/>
        <rFont val="Arial"/>
        <family val="2"/>
        <charset val="1"/>
      </rPr>
      <t xml:space="preserve">N_UPPER_LIMIT</t>
    </r>
    <r>
      <rPr>
        <sz val="11"/>
        <color theme="1"/>
        <rFont val="Arial"/>
        <family val="2"/>
        <charset val="1"/>
      </rPr>
      <t xml:space="preserve"> =</t>
    </r>
  </si>
  <si>
    <t xml:space="preserve">VINP_MIN must be greater than this value for the (AVSS + 0.25*(AVDD-AVSS)) VCM restriction</t>
  </si>
  <si>
    <t xml:space="preserve">VOUTP_CLIP</t>
  </si>
  <si>
    <r>
      <rPr>
        <sz val="11"/>
        <color theme="1"/>
        <rFont val="Arial"/>
        <family val="2"/>
        <charset val="1"/>
      </rPr>
      <t xml:space="preserve">IN</t>
    </r>
    <r>
      <rPr>
        <vertAlign val="subscript"/>
        <sz val="11"/>
        <color theme="1"/>
        <rFont val="Arial"/>
        <family val="2"/>
        <charset val="1"/>
      </rPr>
      <t xml:space="preserve">N_LOWER_LIMIT</t>
    </r>
    <r>
      <rPr>
        <sz val="11"/>
        <color theme="1"/>
        <rFont val="Arial"/>
        <family val="2"/>
        <charset val="1"/>
      </rPr>
      <t xml:space="preserve"> =</t>
    </r>
  </si>
  <si>
    <t xml:space="preserve">VINP_MIN that results in VOUTP saturating to negative rail</t>
  </si>
  <si>
    <t xml:space="preserve">VINP_MIN that results in VOUTN saturating to positive rail, clamped</t>
  </si>
  <si>
    <t xml:space="preserve">VOUTN_CLIP</t>
  </si>
  <si>
    <t xml:space="preserve">VINN_MAX that results in VOUTN saturating to positive rail</t>
  </si>
  <si>
    <t xml:space="preserve">VINN_MAX that results in VOUTP saturating to negative rail, clamped</t>
  </si>
  <si>
    <t xml:space="preserve">VINN_MIN must be greater than this value for the (AVSS + 0.25*(AVDD-AVSS)) VCM restriction</t>
  </si>
  <si>
    <t xml:space="preserve">VINN_MIN that results in VOUTN saturating to negative rail</t>
  </si>
  <si>
    <t xml:space="preserve">VINN_MIN that results in VOUTP saturating to positive rail, clamped</t>
  </si>
  <si>
    <t xml:space="preserve">Differential Input Voltage Range</t>
  </si>
  <si>
    <r>
      <rPr>
        <sz val="11"/>
        <color theme="1"/>
        <rFont val="Arial"/>
        <family val="2"/>
        <charset val="1"/>
      </rPr>
      <t xml:space="preserve">V</t>
    </r>
    <r>
      <rPr>
        <vertAlign val="subscript"/>
        <sz val="11"/>
        <color theme="1"/>
        <rFont val="Arial"/>
        <family val="2"/>
        <charset val="1"/>
      </rPr>
      <t xml:space="preserve">DIFF_UPPER_LIMIT</t>
    </r>
    <r>
      <rPr>
        <sz val="11"/>
        <color theme="1"/>
        <rFont val="Arial"/>
        <family val="2"/>
        <charset val="1"/>
      </rPr>
      <t xml:space="preserve"> =</t>
    </r>
  </si>
  <si>
    <r>
      <rPr>
        <sz val="11"/>
        <color theme="1"/>
        <rFont val="Arial"/>
        <family val="2"/>
        <charset val="1"/>
      </rPr>
      <t xml:space="preserve">V</t>
    </r>
    <r>
      <rPr>
        <vertAlign val="subscript"/>
        <sz val="11"/>
        <color theme="1"/>
        <rFont val="Arial"/>
        <family val="2"/>
        <charset val="1"/>
      </rPr>
      <t xml:space="preserve">DIFF_LOWER_LIMIT</t>
    </r>
    <r>
      <rPr>
        <sz val="11"/>
        <color theme="1"/>
        <rFont val="Arial"/>
        <family val="2"/>
        <charset val="1"/>
      </rPr>
      <t xml:space="preserve"> =</t>
    </r>
  </si>
  <si>
    <t xml:space="preserve">Common-Mode Range</t>
  </si>
  <si>
    <r>
      <rPr>
        <sz val="11"/>
        <color theme="1"/>
        <rFont val="Arial"/>
        <family val="2"/>
        <charset val="1"/>
      </rPr>
      <t xml:space="preserve">V</t>
    </r>
    <r>
      <rPr>
        <vertAlign val="subscript"/>
        <sz val="11"/>
        <color theme="1"/>
        <rFont val="Arial"/>
        <family val="2"/>
        <charset val="1"/>
      </rPr>
      <t xml:space="preserve">CM_UPPER_LIMIT</t>
    </r>
    <r>
      <rPr>
        <sz val="11"/>
        <color theme="1"/>
        <rFont val="Arial"/>
        <family val="2"/>
        <charset val="1"/>
      </rPr>
      <t xml:space="preserve"> =</t>
    </r>
  </si>
  <si>
    <t xml:space="preserve">* Limited by output swing to rail, clamps to mid-supply when maximum differential voltage input is exceeded</t>
  </si>
  <si>
    <r>
      <rPr>
        <sz val="11"/>
        <color theme="1"/>
        <rFont val="Arial"/>
        <family val="2"/>
        <charset val="1"/>
      </rPr>
      <t xml:space="preserve">V</t>
    </r>
    <r>
      <rPr>
        <vertAlign val="subscript"/>
        <sz val="11"/>
        <color theme="1"/>
        <rFont val="Arial"/>
        <family val="2"/>
        <charset val="1"/>
      </rPr>
      <t xml:space="preserve">CM_LOWER_LIMIT</t>
    </r>
    <r>
      <rPr>
        <sz val="11"/>
        <color theme="1"/>
        <rFont val="Arial"/>
        <family val="2"/>
        <charset val="1"/>
      </rPr>
      <t xml:space="preserve"> =</t>
    </r>
  </si>
  <si>
    <t xml:space="preserve">* ADS1220 has an additional restriction on VCM where VCM &gt; AVSS + 0.25*(AVDD - AVSS)</t>
  </si>
  <si>
    <t xml:space="preserve">Analog Supply Voltage Range</t>
  </si>
  <si>
    <r>
      <rPr>
        <sz val="11"/>
        <color theme="1"/>
        <rFont val="Arial"/>
        <family val="2"/>
        <charset val="1"/>
      </rPr>
      <t xml:space="preserve">V</t>
    </r>
    <r>
      <rPr>
        <vertAlign val="subscript"/>
        <sz val="11"/>
        <color theme="1"/>
        <rFont val="Arial"/>
        <family val="2"/>
        <charset val="1"/>
      </rPr>
      <t xml:space="preserve">AVDD_UPPER_LIMIT</t>
    </r>
    <r>
      <rPr>
        <sz val="11"/>
        <color theme="1"/>
        <rFont val="Arial"/>
        <family val="2"/>
        <charset val="1"/>
      </rPr>
      <t xml:space="preserve"> =</t>
    </r>
  </si>
  <si>
    <t xml:space="preserve">* AVDD limits are referenced to AVSS</t>
  </si>
  <si>
    <r>
      <rPr>
        <sz val="11"/>
        <color theme="1"/>
        <rFont val="Arial"/>
        <family val="2"/>
        <charset val="1"/>
      </rPr>
      <t xml:space="preserve">V</t>
    </r>
    <r>
      <rPr>
        <vertAlign val="subscript"/>
        <sz val="11"/>
        <color theme="1"/>
        <rFont val="Arial"/>
        <family val="2"/>
        <charset val="1"/>
      </rPr>
      <t xml:space="preserve">AVDD_LOWER_LIMIT</t>
    </r>
    <r>
      <rPr>
        <sz val="11"/>
        <color theme="1"/>
        <rFont val="Arial"/>
        <family val="2"/>
        <charset val="1"/>
      </rPr>
      <t xml:space="preserve"> =</t>
    </r>
  </si>
  <si>
    <r>
      <rPr>
        <sz val="11"/>
        <color theme="1"/>
        <rFont val="Arial"/>
        <family val="2"/>
        <charset val="1"/>
      </rPr>
      <t xml:space="preserve">V</t>
    </r>
    <r>
      <rPr>
        <vertAlign val="subscript"/>
        <sz val="11"/>
        <color theme="1"/>
        <rFont val="Arial"/>
        <family val="2"/>
        <charset val="1"/>
      </rPr>
      <t xml:space="preserve">AVSS_UPPER_LIMIT</t>
    </r>
    <r>
      <rPr>
        <sz val="11"/>
        <color theme="1"/>
        <rFont val="Arial"/>
        <family val="2"/>
        <charset val="1"/>
      </rPr>
      <t xml:space="preserve"> =</t>
    </r>
  </si>
  <si>
    <t xml:space="preserve">* AVSS limits are referenced to 0V</t>
  </si>
  <si>
    <r>
      <rPr>
        <sz val="11"/>
        <color theme="1"/>
        <rFont val="Arial"/>
        <family val="2"/>
        <charset val="1"/>
      </rPr>
      <t xml:space="preserve">V</t>
    </r>
    <r>
      <rPr>
        <vertAlign val="subscript"/>
        <sz val="11"/>
        <color theme="1"/>
        <rFont val="Arial"/>
        <family val="2"/>
        <charset val="1"/>
      </rPr>
      <t xml:space="preserve">AVSS_LOWER_LIMIT</t>
    </r>
    <r>
      <rPr>
        <sz val="11"/>
        <color theme="1"/>
        <rFont val="Arial"/>
        <family val="2"/>
        <charset val="1"/>
      </rPr>
      <t xml:space="preserve"> =</t>
    </r>
  </si>
  <si>
    <t xml:space="preserve">Reference Voltage Range</t>
  </si>
  <si>
    <r>
      <rPr>
        <sz val="11"/>
        <color theme="1"/>
        <rFont val="Arial"/>
        <family val="2"/>
        <charset val="1"/>
      </rPr>
      <t xml:space="preserve">V</t>
    </r>
    <r>
      <rPr>
        <vertAlign val="subscript"/>
        <sz val="11"/>
        <color theme="1"/>
        <rFont val="Arial"/>
        <family val="2"/>
        <charset val="1"/>
      </rPr>
      <t xml:space="preserve">REFP_UPPER_LIMIT</t>
    </r>
    <r>
      <rPr>
        <sz val="11"/>
        <color theme="1"/>
        <rFont val="Arial"/>
        <family val="2"/>
        <charset val="1"/>
      </rPr>
      <t xml:space="preserve"> =</t>
    </r>
  </si>
  <si>
    <t xml:space="preserve">* Voltage reference limited by supplies and min/max VREF (differential)</t>
  </si>
  <si>
    <r>
      <rPr>
        <sz val="11"/>
        <color theme="1"/>
        <rFont val="Arial"/>
        <family val="2"/>
        <charset val="1"/>
      </rPr>
      <t xml:space="preserve">V</t>
    </r>
    <r>
      <rPr>
        <vertAlign val="subscript"/>
        <sz val="11"/>
        <color theme="1"/>
        <rFont val="Arial"/>
        <family val="2"/>
        <charset val="1"/>
      </rPr>
      <t xml:space="preserve">REFP_LOWER_LIMIT</t>
    </r>
    <r>
      <rPr>
        <sz val="11"/>
        <color theme="1"/>
        <rFont val="Arial"/>
        <family val="2"/>
        <charset val="1"/>
      </rPr>
      <t xml:space="preserve"> =</t>
    </r>
  </si>
  <si>
    <r>
      <rPr>
        <sz val="11"/>
        <color theme="1"/>
        <rFont val="Arial"/>
        <family val="2"/>
        <charset val="1"/>
      </rPr>
      <t xml:space="preserve">V</t>
    </r>
    <r>
      <rPr>
        <vertAlign val="subscript"/>
        <sz val="11"/>
        <color theme="1"/>
        <rFont val="Arial"/>
        <family val="2"/>
        <charset val="1"/>
      </rPr>
      <t xml:space="preserve">REFN_UPPER_LIMIT</t>
    </r>
    <r>
      <rPr>
        <sz val="11"/>
        <color theme="1"/>
        <rFont val="Arial"/>
        <family val="2"/>
        <charset val="1"/>
      </rPr>
      <t xml:space="preserve"> =</t>
    </r>
  </si>
  <si>
    <r>
      <rPr>
        <sz val="11"/>
        <color theme="1"/>
        <rFont val="Arial"/>
        <family val="2"/>
        <charset val="1"/>
      </rPr>
      <t xml:space="preserve">V</t>
    </r>
    <r>
      <rPr>
        <vertAlign val="subscript"/>
        <sz val="11"/>
        <color theme="1"/>
        <rFont val="Arial"/>
        <family val="2"/>
        <charset val="1"/>
      </rPr>
      <t xml:space="preserve">REFN_LOWER_LIMIT</t>
    </r>
    <r>
      <rPr>
        <sz val="11"/>
        <color theme="1"/>
        <rFont val="Arial"/>
        <family val="2"/>
        <charset val="1"/>
      </rPr>
      <t xml:space="preserve"> =</t>
    </r>
  </si>
  <si>
    <t xml:space="preserve">Error Calculations</t>
  </si>
  <si>
    <r>
      <rPr>
        <sz val="11"/>
        <color theme="1"/>
        <rFont val="Arial"/>
        <family val="2"/>
        <charset val="1"/>
      </rPr>
      <t xml:space="preserve">V</t>
    </r>
    <r>
      <rPr>
        <vertAlign val="subscript"/>
        <sz val="11"/>
        <color theme="1"/>
        <rFont val="Arial"/>
        <family val="2"/>
        <charset val="1"/>
      </rPr>
      <t xml:space="preserve">DIFF</t>
    </r>
  </si>
  <si>
    <r>
      <rPr>
        <sz val="11"/>
        <color theme="1"/>
        <rFont val="Arial"/>
        <family val="2"/>
        <charset val="1"/>
      </rPr>
      <t xml:space="preserve">V</t>
    </r>
    <r>
      <rPr>
        <vertAlign val="subscript"/>
        <sz val="11"/>
        <color theme="1"/>
        <rFont val="Arial"/>
        <family val="2"/>
        <charset val="1"/>
      </rPr>
      <t xml:space="preserve">CM</t>
    </r>
  </si>
  <si>
    <r>
      <rPr>
        <sz val="11"/>
        <color theme="1"/>
        <rFont val="Arial"/>
        <family val="2"/>
        <charset val="1"/>
      </rPr>
      <t xml:space="preserve">V</t>
    </r>
    <r>
      <rPr>
        <vertAlign val="subscript"/>
        <sz val="11"/>
        <color theme="1"/>
        <rFont val="Arial"/>
        <family val="2"/>
        <charset val="1"/>
      </rPr>
      <t xml:space="preserve">AVDD</t>
    </r>
  </si>
  <si>
    <r>
      <rPr>
        <sz val="11"/>
        <color theme="1"/>
        <rFont val="Arial"/>
        <family val="2"/>
        <charset val="1"/>
      </rPr>
      <t xml:space="preserve">V</t>
    </r>
    <r>
      <rPr>
        <vertAlign val="subscript"/>
        <sz val="11"/>
        <color theme="1"/>
        <rFont val="Arial"/>
        <family val="2"/>
        <charset val="1"/>
      </rPr>
      <t xml:space="preserve">AVSS</t>
    </r>
  </si>
  <si>
    <r>
      <rPr>
        <sz val="11"/>
        <color theme="1"/>
        <rFont val="Arial"/>
        <family val="2"/>
        <charset val="1"/>
      </rPr>
      <t xml:space="preserve">V</t>
    </r>
    <r>
      <rPr>
        <vertAlign val="subscript"/>
        <sz val="11"/>
        <color theme="1"/>
        <rFont val="Arial"/>
        <family val="2"/>
        <charset val="1"/>
      </rPr>
      <t xml:space="preserve">(AVDD-AVSS)</t>
    </r>
  </si>
  <si>
    <r>
      <rPr>
        <sz val="11"/>
        <color theme="1"/>
        <rFont val="Arial"/>
        <family val="2"/>
        <charset val="1"/>
      </rPr>
      <t xml:space="preserve">V</t>
    </r>
    <r>
      <rPr>
        <vertAlign val="subscript"/>
        <sz val="11"/>
        <color theme="1"/>
        <rFont val="Arial"/>
        <family val="2"/>
        <charset val="1"/>
      </rPr>
      <t xml:space="preserve">REFP</t>
    </r>
  </si>
  <si>
    <r>
      <rPr>
        <sz val="11"/>
        <color theme="1"/>
        <rFont val="Arial"/>
        <family val="2"/>
        <charset val="1"/>
      </rPr>
      <t xml:space="preserve">V</t>
    </r>
    <r>
      <rPr>
        <vertAlign val="subscript"/>
        <sz val="11"/>
        <color theme="1"/>
        <rFont val="Arial"/>
        <family val="2"/>
        <charset val="1"/>
      </rPr>
      <t xml:space="preserve">REFN</t>
    </r>
  </si>
  <si>
    <r>
      <rPr>
        <sz val="11"/>
        <color theme="1"/>
        <rFont val="Arial"/>
        <family val="2"/>
        <charset val="1"/>
      </rPr>
      <t xml:space="preserve">V</t>
    </r>
    <r>
      <rPr>
        <vertAlign val="subscript"/>
        <sz val="11"/>
        <color theme="1"/>
        <rFont val="Arial"/>
        <family val="2"/>
        <charset val="1"/>
      </rPr>
      <t xml:space="preserve">(REFP-REFN)</t>
    </r>
  </si>
  <si>
    <r>
      <rPr>
        <sz val="11"/>
        <color theme="1"/>
        <rFont val="Arial"/>
        <family val="2"/>
        <charset val="1"/>
      </rPr>
      <t xml:space="preserve">V</t>
    </r>
    <r>
      <rPr>
        <vertAlign val="subscript"/>
        <sz val="11"/>
        <color theme="1"/>
        <rFont val="Arial"/>
        <family val="2"/>
        <charset val="1"/>
      </rPr>
      <t xml:space="preserve">OUTP</t>
    </r>
  </si>
  <si>
    <r>
      <rPr>
        <sz val="11"/>
        <color theme="1"/>
        <rFont val="Arial"/>
        <family val="2"/>
        <charset val="1"/>
      </rPr>
      <t xml:space="preserve">V</t>
    </r>
    <r>
      <rPr>
        <vertAlign val="subscript"/>
        <sz val="11"/>
        <color theme="1"/>
        <rFont val="Arial"/>
        <family val="2"/>
        <charset val="1"/>
      </rPr>
      <t xml:space="preserve">OUTN</t>
    </r>
  </si>
  <si>
    <r>
      <rPr>
        <sz val="11"/>
        <color theme="1"/>
        <rFont val="Arial"/>
        <family val="2"/>
        <charset val="1"/>
      </rPr>
      <t xml:space="preserve">V</t>
    </r>
    <r>
      <rPr>
        <vertAlign val="subscript"/>
        <sz val="11"/>
        <color theme="1"/>
        <rFont val="Arial"/>
        <family val="2"/>
        <charset val="1"/>
      </rPr>
      <t xml:space="preserve">OUT_CLAMPED</t>
    </r>
    <r>
      <rPr>
        <sz val="11"/>
        <color theme="1"/>
        <rFont val="Arial"/>
        <family val="2"/>
        <charset val="1"/>
      </rPr>
      <t xml:space="preserve"> &gt; FSR</t>
    </r>
  </si>
  <si>
    <t xml:space="preserve">ADC Parameters</t>
  </si>
  <si>
    <t xml:space="preserve">ADC Input Range &amp; Least Significant Bit (LSB) Size</t>
  </si>
  <si>
    <t xml:space="preserve">[V/V]</t>
  </si>
  <si>
    <t xml:space="preserve">→</t>
  </si>
  <si>
    <t xml:space="preserve">Differential Input Range</t>
  </si>
  <si>
    <t xml:space="preserve">[V]</t>
  </si>
  <si>
    <t xml:space="preserve">Reference Voltage</t>
  </si>
  <si>
    <t xml:space="preserve">LSB size</t>
  </si>
  <si>
    <t xml:space="preserve">[nV]</t>
  </si>
  <si>
    <t xml:space="preserve">ADC Output Code (2's Complement)</t>
  </si>
  <si>
    <r>
      <rPr>
        <b val="true"/>
        <sz val="10"/>
        <color theme="1"/>
        <rFont val="Arial"/>
        <family val="2"/>
        <charset val="1"/>
      </rPr>
      <t xml:space="preserve">Input Voltage RTI </t>
    </r>
    <r>
      <rPr>
        <b val="true"/>
        <vertAlign val="superscript"/>
        <sz val="10"/>
        <color theme="1"/>
        <rFont val="Arial"/>
        <family val="2"/>
        <charset val="1"/>
      </rPr>
      <t xml:space="preserve">(1)</t>
    </r>
  </si>
  <si>
    <t xml:space="preserve">FFFFF</t>
  </si>
  <si>
    <t xml:space="preserve">[Hex]</t>
  </si>
  <si>
    <r>
      <rPr>
        <b val="true"/>
        <sz val="10"/>
        <color theme="1"/>
        <rFont val="Arial"/>
        <family val="2"/>
        <charset val="1"/>
      </rPr>
      <t xml:space="preserve">Differential Input Voltage RTI </t>
    </r>
    <r>
      <rPr>
        <b val="true"/>
        <vertAlign val="superscript"/>
        <sz val="10"/>
        <color theme="1"/>
        <rFont val="Arial"/>
        <family val="2"/>
        <charset val="1"/>
      </rPr>
      <t xml:space="preserve">(1)</t>
    </r>
  </si>
  <si>
    <r>
      <rPr>
        <b val="true"/>
        <sz val="10"/>
        <color theme="1"/>
        <rFont val="Arial"/>
        <family val="2"/>
        <charset val="1"/>
      </rPr>
      <t xml:space="preserve">Ideal Output Code </t>
    </r>
    <r>
      <rPr>
        <b val="true"/>
        <vertAlign val="superscript"/>
        <sz val="10"/>
        <color theme="1"/>
        <rFont val="Arial"/>
        <family val="2"/>
        <charset val="1"/>
      </rPr>
      <t xml:space="preserve">(2)</t>
    </r>
  </si>
  <si>
    <t xml:space="preserve">Output Code Clipped!</t>
  </si>
  <si>
    <t xml:space="preserve">Notes:</t>
  </si>
  <si>
    <r>
      <rPr>
        <i val="true"/>
        <vertAlign val="superscript"/>
        <sz val="9"/>
        <color theme="1"/>
        <rFont val="Arial"/>
        <family val="2"/>
        <charset val="1"/>
      </rPr>
      <t xml:space="preserve">(1)</t>
    </r>
    <r>
      <rPr>
        <i val="true"/>
        <sz val="9"/>
        <color theme="1"/>
        <rFont val="Arial"/>
        <family val="2"/>
        <charset val="1"/>
      </rPr>
      <t xml:space="preserve"> "RTI" means "referred to input" (i.e. the voltage applied to the input pins, prior to the PGA gain)</t>
    </r>
  </si>
  <si>
    <r>
      <rPr>
        <i val="true"/>
        <vertAlign val="superscript"/>
        <sz val="9"/>
        <color theme="1"/>
        <rFont val="Arial"/>
        <family val="2"/>
        <charset val="1"/>
      </rPr>
      <t xml:space="preserve">(2)</t>
    </r>
    <r>
      <rPr>
        <i val="true"/>
        <sz val="9"/>
        <color theme="1"/>
        <rFont val="Arial"/>
        <family val="2"/>
        <charset val="1"/>
      </rPr>
      <t xml:space="preserve"> Ideal output code (i.e. ignoring the effects of noise, INL, calibration, etc.)</t>
    </r>
  </si>
  <si>
    <r>
      <rPr>
        <sz val="10"/>
        <rFont val="Arial"/>
        <family val="2"/>
        <charset val="1"/>
      </rPr>
      <t xml:space="preserve">↓ </t>
    </r>
    <r>
      <rPr>
        <i val="true"/>
        <sz val="10"/>
        <rFont val="Arial"/>
        <family val="2"/>
        <charset val="1"/>
      </rPr>
      <t xml:space="preserve">Calculations  ↓</t>
    </r>
  </si>
  <si>
    <t xml:space="preserve">Code:</t>
  </si>
  <si>
    <t xml:space="preserve">Voltage Conversion</t>
  </si>
  <si>
    <t xml:space="preserve">Input Type:</t>
  </si>
  <si>
    <t xml:space="preserve">Is Negative?</t>
  </si>
  <si>
    <t xml:space="preserve">Reference Voltage:</t>
  </si>
  <si>
    <t xml:space="preserve">Decimal Value:</t>
  </si>
  <si>
    <t xml:space="preserve">PGA Gain:</t>
  </si>
  <si>
    <t xml:space="preserve">Voltage [V]:</t>
  </si>
  <si>
    <t xml:space="preserve">Selected Units:</t>
  </si>
  <si>
    <t xml:space="preserve">Code Validation</t>
  </si>
  <si>
    <t xml:space="preserve">Number of Bits:</t>
  </si>
  <si>
    <t xml:space="preserve">Number of hex digits:</t>
  </si>
  <si>
    <t xml:space="preserve">Code Conversion</t>
  </si>
  <si>
    <t xml:space="preserve">Number of Codes:</t>
  </si>
  <si>
    <t xml:space="preserve">Min Code:</t>
  </si>
  <si>
    <t xml:space="preserve">Max Code:</t>
  </si>
  <si>
    <t xml:space="preserve">Voltage Out-of-Range?</t>
  </si>
  <si>
    <t xml:space="preserve">Is Number?</t>
  </si>
  <si>
    <t xml:space="preserve">Out-of-Range Direction:</t>
  </si>
  <si>
    <t xml:space="preserve">In Range?</t>
  </si>
  <si>
    <t xml:space="preserve">Decimal:</t>
  </si>
  <si>
    <t xml:space="preserve">Valid?</t>
  </si>
  <si>
    <t xml:space="preserve">Hex:</t>
  </si>
  <si>
    <t xml:space="preserve">Output Type:</t>
  </si>
  <si>
    <t xml:space="preserve">FSR/LSB Size Calculations</t>
  </si>
  <si>
    <t xml:space="preserve">Output Code:</t>
  </si>
  <si>
    <t xml:space="preserve">FSR Multiplier:</t>
  </si>
  <si>
    <t xml:space="preserve">FSR:</t>
  </si>
  <si>
    <t xml:space="preserve">LSB Size:</t>
  </si>
  <si>
    <t xml:space="preserve">Units</t>
  </si>
  <si>
    <t xml:space="preserve">Multiplier</t>
  </si>
  <si>
    <t xml:space="preserve">ADC Parameter Validation</t>
  </si>
  <si>
    <t xml:space="preserve">[mV]</t>
  </si>
  <si>
    <t xml:space="preserve">Vref Min:</t>
  </si>
  <si>
    <t xml:space="preserve">[μV]</t>
  </si>
  <si>
    <t xml:space="preserve">Vref Max:</t>
  </si>
  <si>
    <t xml:space="preserve">PGA gains:</t>
  </si>
  <si>
    <t xml:space="preserve">aa</t>
  </si>
  <si>
    <r>
      <rPr>
        <b val="true"/>
        <sz val="10"/>
        <color theme="1"/>
        <rFont val="Arial"/>
        <family val="2"/>
        <charset val="1"/>
      </rPr>
      <t xml:space="preserve">NOTE: </t>
    </r>
    <r>
      <rPr>
        <sz val="10"/>
        <color theme="1"/>
        <rFont val="Arial"/>
        <family val="2"/>
        <charset val="1"/>
      </rPr>
      <t xml:space="preserve">Valid when using ADS1220 in Internal Temperature Sensor Mode (TS = '1')</t>
    </r>
  </si>
  <si>
    <t xml:space="preserve">Least Significant Bit (LSB) Size</t>
  </si>
  <si>
    <t xml:space="preserve">[°C]</t>
  </si>
  <si>
    <t xml:space="preserve">Input a hex value between 3B00h and 1000h</t>
  </si>
  <si>
    <t xml:space="preserve">24-bit Data from Temp Sensor Measurement (2's Complement)</t>
  </si>
  <si>
    <t xml:space="preserve">Data 1 (MSB)</t>
  </si>
  <si>
    <t xml:space="preserve">Data 2</t>
  </si>
  <si>
    <t xml:space="preserve">Data 3</t>
  </si>
  <si>
    <t xml:space="preserve">Data 4</t>
  </si>
  <si>
    <t xml:space="preserve">Data 5</t>
  </si>
  <si>
    <t xml:space="preserve">Data 6 (LSB)</t>
  </si>
  <si>
    <t xml:space="preserve">Code-to-Temperature Results</t>
  </si>
  <si>
    <t xml:space="preserve">B</t>
  </si>
  <si>
    <t xml:space="preserve">[Decimal]</t>
  </si>
  <si>
    <t xml:space="preserve">14-bit temperature output</t>
  </si>
  <si>
    <t xml:space="preserve">Temperature</t>
  </si>
  <si>
    <t xml:space="preserve">Temperature-to-Code Results</t>
  </si>
  <si>
    <r>
      <rPr>
        <sz val="11"/>
        <rFont val="Arial"/>
        <family val="2"/>
        <charset val="1"/>
      </rPr>
      <t xml:space="preserve">↓ </t>
    </r>
    <r>
      <rPr>
        <i val="true"/>
        <sz val="11"/>
        <rFont val="Arial"/>
        <family val="2"/>
        <charset val="1"/>
      </rPr>
      <t xml:space="preserve">Calculations  ↓</t>
    </r>
  </si>
  <si>
    <t xml:space="preserve">hex to dec (unsigned)</t>
  </si>
  <si>
    <t xml:space="preserve">CtoT</t>
  </si>
  <si>
    <t xml:space="preserve">Decimal</t>
  </si>
  <si>
    <t xml:space="preserve">2^13</t>
  </si>
  <si>
    <t xml:space="preserve">Temp</t>
  </si>
  <si>
    <t xml:space="preserve">hex to dec (signed 14-bit)</t>
  </si>
  <si>
    <t xml:space="preserve">TtoC</t>
  </si>
  <si>
    <t xml:space="preserve">min(hex)</t>
  </si>
  <si>
    <t xml:space="preserve">3B00</t>
  </si>
  <si>
    <t xml:space="preserve">Hex</t>
  </si>
  <si>
    <t xml:space="preserve">min(dec)</t>
  </si>
  <si>
    <t xml:space="preserve">max(hex)</t>
  </si>
  <si>
    <t xml:space="preserve">max(dec)</t>
  </si>
  <si>
    <t xml:space="preserve">Isvalid?</t>
  </si>
  <si>
    <t xml:space="preserve">A</t>
  </si>
  <si>
    <t xml:space="preserve">C</t>
  </si>
  <si>
    <t xml:space="preserve">D</t>
  </si>
  <si>
    <t xml:space="preserve">E</t>
  </si>
  <si>
    <t xml:space="preserve">F</t>
  </si>
  <si>
    <t xml:space="preserve">User Input</t>
  </si>
  <si>
    <t xml:space="preserve">Values to Write</t>
  </si>
  <si>
    <t xml:space="preserve">Start reading/writing at register number:</t>
  </si>
  <si>
    <r>
      <rPr>
        <i val="true"/>
        <sz val="10"/>
        <color theme="1"/>
        <rFont val="Arial"/>
        <family val="2"/>
        <charset val="1"/>
      </rPr>
      <t xml:space="preserve">rr</t>
    </r>
    <r>
      <rPr>
        <sz val="10"/>
        <color theme="1"/>
        <rFont val="Arial"/>
        <family val="2"/>
        <charset val="1"/>
      </rPr>
      <t xml:space="preserve"> (configuration register) (00 to 11)</t>
    </r>
  </si>
  <si>
    <t xml:space="preserve">How many registers to read/write</t>
  </si>
  <si>
    <r>
      <rPr>
        <i val="true"/>
        <sz val="10"/>
        <color theme="1"/>
        <rFont val="Arial"/>
        <family val="2"/>
        <charset val="1"/>
      </rPr>
      <t xml:space="preserve">nn</t>
    </r>
    <r>
      <rPr>
        <sz val="10"/>
        <color theme="1"/>
        <rFont val="Arial"/>
        <family val="2"/>
        <charset val="1"/>
      </rPr>
      <t xml:space="preserve"> (number of bytes - 1) (00 to 11)</t>
    </r>
  </si>
  <si>
    <t xml:space="preserve">Command</t>
  </si>
  <si>
    <t xml:space="preserve">Command Byte</t>
  </si>
  <si>
    <t xml:space="preserve">WREG</t>
  </si>
  <si>
    <r>
      <rPr>
        <sz val="10"/>
        <color theme="1"/>
        <rFont val="Arial"/>
        <family val="2"/>
        <charset val="1"/>
      </rPr>
      <t xml:space="preserve">Write </t>
    </r>
    <r>
      <rPr>
        <i val="true"/>
        <sz val="10"/>
        <color theme="1"/>
        <rFont val="Arial"/>
        <family val="2"/>
        <charset val="1"/>
      </rPr>
      <t xml:space="preserve">nn</t>
    </r>
    <r>
      <rPr>
        <sz val="10"/>
        <color theme="1"/>
        <rFont val="Arial"/>
        <family val="2"/>
        <charset val="1"/>
      </rPr>
      <t xml:space="preserve"> registers starting at address </t>
    </r>
    <r>
      <rPr>
        <i val="true"/>
        <sz val="10"/>
        <color theme="1"/>
        <rFont val="Arial"/>
        <family val="2"/>
        <charset val="1"/>
      </rPr>
      <t xml:space="preserve">rr</t>
    </r>
  </si>
  <si>
    <t xml:space="preserve">0100</t>
  </si>
  <si>
    <t xml:space="preserve">RREG</t>
  </si>
  <si>
    <r>
      <rPr>
        <sz val="10"/>
        <color theme="1"/>
        <rFont val="Arial"/>
        <family val="2"/>
        <charset val="1"/>
      </rPr>
      <t xml:space="preserve">Read </t>
    </r>
    <r>
      <rPr>
        <i val="true"/>
        <sz val="10"/>
        <color theme="1"/>
        <rFont val="Arial"/>
        <family val="2"/>
        <charset val="1"/>
      </rPr>
      <t xml:space="preserve">nn</t>
    </r>
    <r>
      <rPr>
        <sz val="10"/>
        <color theme="1"/>
        <rFont val="Arial"/>
        <family val="2"/>
        <charset val="1"/>
      </rPr>
      <t xml:space="preserve"> registers starting at address </t>
    </r>
    <r>
      <rPr>
        <i val="true"/>
        <sz val="10"/>
        <color theme="1"/>
        <rFont val="Arial"/>
        <family val="2"/>
        <charset val="1"/>
      </rPr>
      <t xml:space="preserve">rr</t>
    </r>
  </si>
  <si>
    <t xml:space="preserve">0010</t>
  </si>
  <si>
    <t xml:space="preserve">RESET</t>
  </si>
  <si>
    <t xml:space="preserve">Reset the ADC to its default settings</t>
  </si>
  <si>
    <t xml:space="preserve">0000</t>
  </si>
  <si>
    <r>
      <rPr>
        <sz val="10"/>
        <rFont val="Arial"/>
        <family val="2"/>
        <charset val="1"/>
      </rPr>
      <t xml:space="preserve">011x</t>
    </r>
    <r>
      <rPr>
        <vertAlign val="superscript"/>
        <sz val="10"/>
        <rFont val="Arial"/>
        <family val="2"/>
        <charset val="1"/>
      </rPr>
      <t xml:space="preserve">(1)</t>
    </r>
  </si>
  <si>
    <t xml:space="preserve">START/SYNC</t>
  </si>
  <si>
    <t xml:space="preserve">Resets digital filter and start a new conversion</t>
  </si>
  <si>
    <r>
      <rPr>
        <sz val="10"/>
        <rFont val="Arial"/>
        <family val="2"/>
        <charset val="1"/>
      </rPr>
      <t xml:space="preserve">100x</t>
    </r>
    <r>
      <rPr>
        <vertAlign val="superscript"/>
        <sz val="10"/>
        <rFont val="Arial"/>
        <family val="2"/>
        <charset val="1"/>
      </rPr>
      <t xml:space="preserve">(1)</t>
    </r>
  </si>
  <si>
    <t xml:space="preserve">POWERDOWN</t>
  </si>
  <si>
    <t xml:space="preserve">Power down ADC</t>
  </si>
  <si>
    <r>
      <rPr>
        <sz val="10"/>
        <rFont val="Arial"/>
        <family val="2"/>
        <charset val="1"/>
      </rPr>
      <t xml:space="preserve">001x</t>
    </r>
    <r>
      <rPr>
        <vertAlign val="superscript"/>
        <sz val="10"/>
        <rFont val="Arial"/>
        <family val="2"/>
        <charset val="1"/>
      </rPr>
      <t xml:space="preserve">(1)</t>
    </r>
  </si>
  <si>
    <t xml:space="preserve">RDATA</t>
  </si>
  <si>
    <t xml:space="preserve">Read data</t>
  </si>
  <si>
    <t xml:space="preserve">0001</t>
  </si>
  <si>
    <r>
      <rPr>
        <sz val="10"/>
        <rFont val="Arial"/>
        <family val="2"/>
        <charset val="1"/>
      </rPr>
      <t xml:space="preserve">xxxx</t>
    </r>
    <r>
      <rPr>
        <vertAlign val="superscript"/>
        <sz val="10"/>
        <rFont val="Arial"/>
        <family val="2"/>
        <charset val="1"/>
      </rPr>
      <t xml:space="preserve">(1)</t>
    </r>
  </si>
  <si>
    <r>
      <rPr>
        <i val="true"/>
        <vertAlign val="superscript"/>
        <sz val="9"/>
        <color theme="1"/>
        <rFont val="Arial"/>
        <family val="2"/>
        <charset val="1"/>
      </rPr>
      <t xml:space="preserve">(1)  </t>
    </r>
    <r>
      <rPr>
        <i val="true"/>
        <sz val="9"/>
        <color theme="1"/>
        <rFont val="Arial"/>
        <family val="2"/>
        <charset val="1"/>
      </rPr>
      <t xml:space="preserve">x = don't care</t>
    </r>
  </si>
  <si>
    <t xml:space="preserve">© Copyright 2022 Texas Instruments Incorporated. All rights reserved.</t>
  </si>
  <si>
    <t xml:space="preserve">Version Number</t>
  </si>
  <si>
    <t xml:space="preserve">1.0.0</t>
  </si>
  <si>
    <t xml:space="preserve">Created by</t>
  </si>
  <si>
    <t xml:space="preserve">Bryan Lizon &amp; Joachim Wuerker</t>
  </si>
  <si>
    <t xml:space="preserve">Version History</t>
  </si>
  <si>
    <t xml:space="preserve">Version</t>
  </si>
  <si>
    <t xml:space="preserve">Change List Description</t>
  </si>
  <si>
    <t xml:space="preserve">Initial Release</t>
  </si>
  <si>
    <t xml:space="preserve">For any futher assistance on this tool, please post your question in the following forum - E2E Precision Data Converters Forum</t>
  </si>
  <si>
    <t xml:space="preserve">Getting Started with this tool ?</t>
  </si>
  <si>
    <t xml:space="preserve">1. Reference the product datasheet, found at the URLs below, for information about the particular device.</t>
  </si>
  <si>
    <t xml:space="preserve">ADS1220:</t>
  </si>
  <si>
    <t xml:space="preserve">https://www.ti.com/product/ADS1220</t>
  </si>
  <si>
    <t xml:space="preserve">2. Go to the Table of Contents for tool descriptions and links to specific worksheets.</t>
  </si>
  <si>
    <t xml:space="preserve">Link:</t>
  </si>
  <si>
    <t xml:space="preserve">3.Use the "Legend" on each worksheet for guidance. The required inputs and calculated results typically follow the convention below:</t>
  </si>
  <si>
    <t xml:space="preserve"> = Input </t>
  </si>
  <si>
    <t xml:space="preserve"> = Result</t>
  </si>
</sst>
</file>

<file path=xl/styles.xml><?xml version="1.0" encoding="utf-8"?>
<styleSheet xmlns="http://schemas.openxmlformats.org/spreadsheetml/2006/main">
  <numFmts count="19">
    <numFmt numFmtId="164" formatCode="General"/>
    <numFmt numFmtId="165" formatCode="00"/>
    <numFmt numFmtId="166" formatCode="000\b"/>
    <numFmt numFmtId="167" formatCode="0\b"/>
    <numFmt numFmtId="168" formatCode="0000\b"/>
    <numFmt numFmtId="169" formatCode="0.0"/>
    <numFmt numFmtId="170" formatCode="00000000\b"/>
    <numFmt numFmtId="171" formatCode="_(* #,##0.00_);_(* \(#,##0.00\);_(* \-??_);_(@_)"/>
    <numFmt numFmtId="172" formatCode="0&quot; V/V&quot;"/>
    <numFmt numFmtId="173" formatCode="0.0000"/>
    <numFmt numFmtId="174" formatCode="0.000"/>
    <numFmt numFmtId="175" formatCode="#,##0.00"/>
    <numFmt numFmtId="176" formatCode="&quot;+/- &quot;0.00"/>
    <numFmt numFmtId="177" formatCode="0.00"/>
    <numFmt numFmtId="178" formatCode="0.000000000"/>
    <numFmt numFmtId="179" formatCode="0E+00"/>
    <numFmt numFmtId="180" formatCode="0.00000"/>
    <numFmt numFmtId="181" formatCode="0"/>
    <numFmt numFmtId="182" formatCode="@"/>
  </numFmts>
  <fonts count="69">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1"/>
      <color theme="1"/>
      <name val="Calibri"/>
      <family val="2"/>
      <charset val="1"/>
    </font>
    <font>
      <b val="true"/>
      <sz val="11"/>
      <color theme="1"/>
      <name val="Arial"/>
      <family val="2"/>
      <charset val="1"/>
    </font>
    <font>
      <u val="single"/>
      <sz val="11"/>
      <color theme="10"/>
      <name val="Arial"/>
      <family val="2"/>
      <charset val="1"/>
    </font>
    <font>
      <u val="single"/>
      <sz val="11"/>
      <color theme="10"/>
      <name val="Calibri"/>
      <family val="2"/>
      <charset val="1"/>
    </font>
    <font>
      <sz val="11"/>
      <color theme="1"/>
      <name val="Arial"/>
      <family val="2"/>
      <charset val="1"/>
    </font>
    <font>
      <sz val="16"/>
      <color theme="1"/>
      <name val="Arial Black"/>
      <family val="2"/>
    </font>
    <font>
      <b val="true"/>
      <u val="single"/>
      <sz val="10"/>
      <color theme="10"/>
      <name val="Arial"/>
      <family val="2"/>
      <charset val="1"/>
    </font>
    <font>
      <b val="true"/>
      <sz val="10"/>
      <color theme="1"/>
      <name val="Arial"/>
      <family val="2"/>
      <charset val="1"/>
    </font>
    <font>
      <i val="true"/>
      <sz val="10"/>
      <color theme="1"/>
      <name val="Arial"/>
      <family val="2"/>
      <charset val="1"/>
    </font>
    <font>
      <sz val="10"/>
      <color theme="1"/>
      <name val="Arial"/>
      <family val="2"/>
      <charset val="1"/>
    </font>
    <font>
      <b val="true"/>
      <sz val="10"/>
      <color rgb="FFDE0000"/>
      <name val="Arial"/>
      <family val="2"/>
      <charset val="1"/>
    </font>
    <font>
      <b val="true"/>
      <sz val="10"/>
      <color rgb="FFFF0000"/>
      <name val="Arial"/>
      <family val="2"/>
      <charset val="1"/>
    </font>
    <font>
      <b val="true"/>
      <sz val="10"/>
      <color theme="0"/>
      <name val="Arial"/>
      <family val="2"/>
      <charset val="1"/>
    </font>
    <font>
      <i val="true"/>
      <u val="single"/>
      <sz val="10"/>
      <color theme="1"/>
      <name val="Arial"/>
      <family val="2"/>
      <charset val="1"/>
    </font>
    <font>
      <sz val="10"/>
      <color theme="0"/>
      <name val="Arial"/>
      <family val="2"/>
      <charset val="1"/>
    </font>
    <font>
      <i val="true"/>
      <sz val="10"/>
      <name val="Arial"/>
      <family val="2"/>
      <charset val="1"/>
    </font>
    <font>
      <sz val="8"/>
      <color theme="1"/>
      <name val="Calibri"/>
      <family val="2"/>
      <charset val="1"/>
    </font>
    <font>
      <sz val="11"/>
      <color rgb="FF555555"/>
      <name val="Arial"/>
      <family val="2"/>
      <charset val="1"/>
    </font>
    <font>
      <b val="true"/>
      <sz val="10"/>
      <name val="Arial"/>
      <family val="2"/>
      <charset val="1"/>
    </font>
    <font>
      <sz val="10"/>
      <color theme="0" tint="-0.35"/>
      <name val="Arial"/>
      <family val="2"/>
      <charset val="1"/>
    </font>
    <font>
      <b val="true"/>
      <u val="single"/>
      <sz val="11"/>
      <color theme="10"/>
      <name val="Arial"/>
      <family val="2"/>
      <charset val="1"/>
    </font>
    <font>
      <sz val="10"/>
      <color theme="1"/>
      <name val="Calibri"/>
      <family val="2"/>
      <charset val="1"/>
    </font>
    <font>
      <b val="true"/>
      <sz val="11"/>
      <color rgb="FFFF0000"/>
      <name val="Arial"/>
      <family val="2"/>
      <charset val="1"/>
    </font>
    <font>
      <i val="true"/>
      <sz val="11"/>
      <color rgb="FFFF0000"/>
      <name val="Arial"/>
      <family val="2"/>
      <charset val="1"/>
    </font>
    <font>
      <b val="true"/>
      <i val="true"/>
      <sz val="10"/>
      <color theme="1"/>
      <name val="Arial"/>
      <family val="2"/>
      <charset val="1"/>
    </font>
    <font>
      <b val="true"/>
      <i val="true"/>
      <sz val="11"/>
      <color theme="1"/>
      <name val="Arial"/>
      <family val="2"/>
      <charset val="1"/>
    </font>
    <font>
      <b val="true"/>
      <u val="single"/>
      <sz val="11"/>
      <color theme="10"/>
      <name val="Calibri"/>
      <family val="2"/>
      <charset val="1"/>
    </font>
    <font>
      <b val="true"/>
      <sz val="8"/>
      <color theme="0" tint="-0.5"/>
      <name val="Arial"/>
      <family val="2"/>
      <charset val="1"/>
    </font>
    <font>
      <sz val="10"/>
      <color rgb="FFDE0000"/>
      <name val="Arial"/>
      <family val="2"/>
      <charset val="1"/>
    </font>
    <font>
      <b val="true"/>
      <i val="true"/>
      <sz val="8"/>
      <color theme="1"/>
      <name val="Arial"/>
      <family val="2"/>
      <charset val="1"/>
    </font>
    <font>
      <vertAlign val="subscript"/>
      <sz val="10"/>
      <color theme="1"/>
      <name val="Arial"/>
      <family val="2"/>
      <charset val="1"/>
    </font>
    <font>
      <sz val="10"/>
      <color theme="1"/>
      <name val="Times New Roman"/>
      <family val="1"/>
    </font>
    <font>
      <sz val="8"/>
      <color theme="1"/>
      <name val="Arial"/>
      <family val="2"/>
      <charset val="1"/>
    </font>
    <font>
      <b val="true"/>
      <sz val="8"/>
      <color rgb="FFFF0000"/>
      <name val="Arial"/>
      <family val="2"/>
      <charset val="1"/>
    </font>
    <font>
      <i val="true"/>
      <sz val="10"/>
      <color theme="0"/>
      <name val="Arial"/>
      <family val="2"/>
      <charset val="1"/>
    </font>
    <font>
      <sz val="10"/>
      <color theme="9"/>
      <name val="Arial"/>
      <family val="2"/>
      <charset val="1"/>
    </font>
    <font>
      <sz val="10"/>
      <color theme="7"/>
      <name val="Arial"/>
      <family val="2"/>
      <charset val="1"/>
    </font>
    <font>
      <b val="true"/>
      <sz val="10"/>
      <color theme="0" tint="-0.5"/>
      <name val="Arial"/>
      <family val="2"/>
      <charset val="1"/>
    </font>
    <font>
      <sz val="11"/>
      <name val="Arial"/>
      <family val="2"/>
      <charset val="1"/>
    </font>
    <font>
      <i val="true"/>
      <sz val="11"/>
      <name val="Arial"/>
      <family val="2"/>
      <charset val="1"/>
    </font>
    <font>
      <i val="true"/>
      <sz val="11"/>
      <color rgb="FF7F7F7F"/>
      <name val="Calibri"/>
      <family val="2"/>
      <charset val="1"/>
    </font>
    <font>
      <vertAlign val="subscript"/>
      <sz val="11"/>
      <color theme="1"/>
      <name val="Arial"/>
      <family val="2"/>
      <charset val="1"/>
    </font>
    <font>
      <b val="true"/>
      <sz val="11"/>
      <name val="Arial"/>
      <family val="2"/>
      <charset val="1"/>
    </font>
    <font>
      <b val="true"/>
      <sz val="11"/>
      <color theme="7"/>
      <name val="Arial"/>
      <family val="2"/>
      <charset val="1"/>
    </font>
    <font>
      <b val="true"/>
      <sz val="11"/>
      <color theme="9"/>
      <name val="Arial"/>
      <family val="2"/>
      <charset val="1"/>
    </font>
    <font>
      <sz val="10"/>
      <color rgb="FF000000"/>
      <name val="Arial"/>
      <family val="2"/>
    </font>
    <font>
      <sz val="10"/>
      <color rgb="FF000000"/>
      <name val="Calibri"/>
      <family val="2"/>
    </font>
    <font>
      <b val="true"/>
      <sz val="10"/>
      <color rgb="FF000000"/>
      <name val="Arial"/>
      <family val="2"/>
    </font>
    <font>
      <b val="true"/>
      <sz val="12"/>
      <color theme="1"/>
      <name val="Calibri"/>
      <family val="2"/>
      <charset val="1"/>
    </font>
    <font>
      <sz val="12"/>
      <color theme="1"/>
      <name val="Calibri"/>
      <family val="2"/>
      <charset val="1"/>
    </font>
    <font>
      <b val="true"/>
      <vertAlign val="superscript"/>
      <sz val="10"/>
      <color theme="1"/>
      <name val="Arial"/>
      <family val="2"/>
      <charset val="1"/>
    </font>
    <font>
      <i val="true"/>
      <sz val="9"/>
      <color theme="1"/>
      <name val="Arial"/>
      <family val="2"/>
      <charset val="1"/>
    </font>
    <font>
      <i val="true"/>
      <vertAlign val="superscript"/>
      <sz val="9"/>
      <color theme="1"/>
      <name val="Arial"/>
      <family val="2"/>
      <charset val="1"/>
    </font>
    <font>
      <i val="true"/>
      <sz val="11"/>
      <color theme="1"/>
      <name val="Arial"/>
      <family val="2"/>
      <charset val="1"/>
    </font>
    <font>
      <sz val="11"/>
      <color theme="0"/>
      <name val="Arial"/>
      <family val="2"/>
      <charset val="1"/>
    </font>
    <font>
      <b val="true"/>
      <sz val="11"/>
      <color rgb="FFDE0000"/>
      <name val="Arial"/>
      <family val="2"/>
      <charset val="1"/>
    </font>
    <font>
      <u val="single"/>
      <sz val="10"/>
      <color theme="10"/>
      <name val="Arial"/>
      <family val="2"/>
      <charset val="1"/>
    </font>
    <font>
      <vertAlign val="superscript"/>
      <sz val="10"/>
      <name val="Arial"/>
      <family val="2"/>
      <charset val="1"/>
    </font>
    <font>
      <b val="true"/>
      <sz val="10"/>
      <color theme="1"/>
      <name val="Arial"/>
      <family val="2"/>
    </font>
    <font>
      <sz val="9"/>
      <color theme="1"/>
      <name val="Arial"/>
      <family val="2"/>
    </font>
    <font>
      <sz val="10"/>
      <color theme="1"/>
      <name val="Arial"/>
      <family val="2"/>
    </font>
    <font>
      <sz val="8"/>
      <color theme="1"/>
      <name val="Arial"/>
      <family val="2"/>
    </font>
    <font>
      <b val="true"/>
      <sz val="11"/>
      <color theme="1"/>
      <name val="Calibri"/>
      <family val="0"/>
    </font>
    <font>
      <sz val="11"/>
      <color theme="1"/>
      <name val="Calibri"/>
      <family val="0"/>
    </font>
  </fonts>
  <fills count="16">
    <fill>
      <patternFill patternType="none"/>
    </fill>
    <fill>
      <patternFill patternType="gray125"/>
    </fill>
    <fill>
      <patternFill patternType="solid">
        <fgColor rgb="FFDE0000"/>
        <bgColor rgb="FFFF0000"/>
      </patternFill>
    </fill>
    <fill>
      <patternFill patternType="solid">
        <fgColor rgb="FFFFFFCC"/>
        <bgColor rgb="FFFFFFFF"/>
      </patternFill>
    </fill>
    <fill>
      <patternFill patternType="solid">
        <fgColor rgb="FFCCFFCC"/>
        <bgColor rgb="FFCCFFFF"/>
      </patternFill>
    </fill>
    <fill>
      <patternFill patternType="solid">
        <fgColor rgb="FF808080"/>
        <bgColor rgb="FF7F7F7F"/>
      </patternFill>
    </fill>
    <fill>
      <patternFill patternType="solid">
        <fgColor rgb="FF00B050"/>
        <bgColor rgb="FF008080"/>
      </patternFill>
    </fill>
    <fill>
      <patternFill patternType="solid">
        <fgColor theme="0"/>
        <bgColor rgb="FFF2F2F2"/>
      </patternFill>
    </fill>
    <fill>
      <patternFill patternType="solid">
        <fgColor rgb="FFFFC000"/>
        <bgColor rgb="FFF79646"/>
      </patternFill>
    </fill>
    <fill>
      <patternFill patternType="solid">
        <fgColor theme="1"/>
        <bgColor rgb="FF003300"/>
      </patternFill>
    </fill>
    <fill>
      <patternFill patternType="solid">
        <fgColor rgb="FFAAAAAA"/>
        <bgColor rgb="FFA6A6A6"/>
      </patternFill>
    </fill>
    <fill>
      <patternFill patternType="solid">
        <fgColor theme="0" tint="-0.35"/>
        <bgColor rgb="FFAAAAAA"/>
      </patternFill>
    </fill>
    <fill>
      <patternFill patternType="solid">
        <fgColor theme="0" tint="-0.05"/>
        <bgColor rgb="FFFFFFFF"/>
      </patternFill>
    </fill>
    <fill>
      <patternFill patternType="solid">
        <fgColor theme="0" tint="-0.15"/>
        <bgColor rgb="FFF2DCDB"/>
      </patternFill>
    </fill>
    <fill>
      <patternFill patternType="solid">
        <fgColor theme="5" tint="0.7999"/>
        <bgColor rgb="FFD9D9D9"/>
      </patternFill>
    </fill>
    <fill>
      <patternFill patternType="solid">
        <fgColor theme="0" tint="-0.25"/>
        <bgColor rgb="FFBDB4CB"/>
      </patternFill>
    </fill>
  </fills>
  <borders count="81">
    <border diagonalUp="false" diagonalDown="false">
      <left/>
      <right/>
      <top/>
      <bottom/>
      <diagonal/>
    </border>
    <border diagonalUp="false" diagonalDown="false">
      <left/>
      <right/>
      <top/>
      <bottom style="mediu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medium"/>
      <right style="medium"/>
      <top style="medium"/>
      <bottom style="medium"/>
      <diagonal/>
    </border>
    <border diagonalUp="false" diagonalDown="false">
      <left style="medium"/>
      <right style="thin">
        <color theme="0"/>
      </right>
      <top style="medium"/>
      <bottom style="medium"/>
      <diagonal/>
    </border>
    <border diagonalUp="false" diagonalDown="false">
      <left style="thin">
        <color theme="0"/>
      </left>
      <right style="thin">
        <color theme="0"/>
      </right>
      <top style="medium"/>
      <bottom style="medium"/>
      <diagonal/>
    </border>
    <border diagonalUp="false" diagonalDown="false">
      <left style="thin">
        <color theme="0"/>
      </left>
      <right style="medium"/>
      <top style="medium"/>
      <bottom style="medium"/>
      <diagonal/>
    </border>
    <border diagonalUp="false" diagonalDown="false">
      <left/>
      <right style="medium"/>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medium"/>
      <top style="medium"/>
      <bottom style="thin"/>
      <diagonal/>
    </border>
    <border diagonalUp="false" diagonalDown="false">
      <left style="medium"/>
      <right/>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top style="thin"/>
      <bottom/>
      <diagonal/>
    </border>
    <border diagonalUp="false" diagonalDown="false">
      <left/>
      <right style="thin"/>
      <top style="thin"/>
      <bottom/>
      <diagonal/>
    </border>
    <border diagonalUp="false" diagonalDown="false">
      <left/>
      <right/>
      <top style="thin"/>
      <bottom style="medium"/>
      <diagonal/>
    </border>
    <border diagonalUp="false" diagonalDown="false">
      <left/>
      <right style="medium"/>
      <top style="medium"/>
      <bottom style="thin"/>
      <diagonal/>
    </border>
    <border diagonalUp="false" diagonalDown="false">
      <left style="thin"/>
      <right style="medium"/>
      <top style="thin"/>
      <bottom style="thin"/>
      <diagonal/>
    </border>
    <border diagonalUp="false" diagonalDown="false">
      <left/>
      <right/>
      <top style="thin"/>
      <bottom/>
      <diagonal/>
    </border>
    <border diagonalUp="false" diagonalDown="false">
      <left/>
      <right style="medium"/>
      <top style="thin"/>
      <bottom style="mediu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medium"/>
      <top style="medium"/>
      <bottom style="medium"/>
      <diagonal/>
    </border>
    <border diagonalUp="false" diagonalDown="false">
      <left style="medium"/>
      <right style="thin"/>
      <top/>
      <bottom style="medium"/>
      <diagonal/>
    </border>
    <border diagonalUp="false" diagonalDown="false">
      <left style="thin"/>
      <right style="medium"/>
      <top/>
      <bottom style="mediu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top style="medium"/>
      <bottom/>
      <diagonal/>
    </border>
    <border diagonalUp="false" diagonalDown="false">
      <left/>
      <right style="medium"/>
      <top style="medium"/>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style="thin">
        <color theme="0" tint="-0.5"/>
      </right>
      <top/>
      <bottom style="medium"/>
      <diagonal/>
    </border>
    <border diagonalUp="false" diagonalDown="false">
      <left style="thin">
        <color theme="0" tint="-0.5"/>
      </left>
      <right style="thin">
        <color theme="0" tint="-0.5"/>
      </right>
      <top/>
      <bottom style="medium"/>
      <diagonal/>
    </border>
    <border diagonalUp="false" diagonalDown="false">
      <left style="thin">
        <color theme="0" tint="-0.5"/>
      </left>
      <right style="medium"/>
      <top/>
      <bottom style="medium"/>
      <diagonal/>
    </border>
    <border diagonalUp="false" diagonalDown="false">
      <left style="medium"/>
      <right style="thin">
        <color theme="0" tint="-0.5"/>
      </right>
      <top/>
      <bottom style="thin">
        <color theme="0" tint="-0.5"/>
      </bottom>
      <diagonal/>
    </border>
    <border diagonalUp="false" diagonalDown="false">
      <left style="thin">
        <color theme="0" tint="-0.5"/>
      </left>
      <right style="thin">
        <color theme="0" tint="-0.5"/>
      </right>
      <top/>
      <bottom style="thin">
        <color theme="0" tint="-0.5"/>
      </bottom>
      <diagonal/>
    </border>
    <border diagonalUp="false" diagonalDown="false">
      <left style="thin">
        <color theme="0" tint="-0.5"/>
      </left>
      <right style="medium"/>
      <top/>
      <bottom style="thin">
        <color theme="0" tint="-0.5"/>
      </bottom>
      <diagonal/>
    </border>
    <border diagonalUp="false" diagonalDown="false">
      <left style="medium"/>
      <right style="thin">
        <color theme="0" tint="-0.5"/>
      </right>
      <top style="thin">
        <color theme="0" tint="-0.5"/>
      </top>
      <bottom style="medium"/>
      <diagonal/>
    </border>
    <border diagonalUp="false" diagonalDown="false">
      <left style="thin">
        <color theme="0" tint="-0.5"/>
      </left>
      <right style="thin">
        <color theme="0" tint="-0.5"/>
      </right>
      <top style="thin">
        <color theme="0" tint="-0.5"/>
      </top>
      <bottom style="medium"/>
      <diagonal/>
    </border>
    <border diagonalUp="false" diagonalDown="false">
      <left style="thin">
        <color theme="0" tint="-0.5"/>
      </left>
      <right style="medium"/>
      <top style="thin">
        <color theme="0" tint="-0.5"/>
      </top>
      <bottom style="medium"/>
      <diagonal/>
    </border>
    <border diagonalUp="false" diagonalDown="false">
      <left style="medium"/>
      <right style="thin">
        <color theme="0" tint="-0.5"/>
      </right>
      <top style="thin">
        <color theme="0" tint="-0.5"/>
      </top>
      <bottom style="thin">
        <color theme="0" tint="-0.5"/>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style="thin">
        <color theme="0" tint="-0.5"/>
      </left>
      <right style="medium"/>
      <top style="thin">
        <color theme="0" tint="-0.5"/>
      </top>
      <bottom style="thin">
        <color theme="0" tint="-0.5"/>
      </bottom>
      <diagonal/>
    </border>
    <border diagonalUp="false" diagonalDown="false">
      <left/>
      <right/>
      <top/>
      <bottom style="double"/>
      <diagonal/>
    </border>
    <border diagonalUp="false" diagonalDown="false">
      <left style="thin"/>
      <right style="thin"/>
      <top style="medium"/>
      <bottom style="thin"/>
      <diagonal/>
    </border>
    <border diagonalUp="false" diagonalDown="false">
      <left style="thin"/>
      <right style="thin"/>
      <top style="thin"/>
      <bottom style="medium"/>
      <diagonal/>
    </border>
    <border diagonalUp="false" diagonalDown="false">
      <left style="thin"/>
      <right/>
      <top/>
      <bottom/>
      <diagonal/>
    </border>
    <border diagonalUp="false" diagonalDown="false">
      <left style="medium"/>
      <right style="medium"/>
      <top/>
      <bottom/>
      <diagonal/>
    </border>
    <border diagonalUp="false" diagonalDown="false">
      <left style="thin"/>
      <right style="thin"/>
      <top style="medium"/>
      <bottom/>
      <diagonal/>
    </border>
    <border diagonalUp="false" diagonalDown="false">
      <left/>
      <right/>
      <top/>
      <bottom style="thin"/>
      <diagonal/>
    </border>
    <border diagonalUp="false" diagonalDown="false">
      <left/>
      <right style="thin"/>
      <top/>
      <bottom/>
      <diagonal/>
    </border>
    <border diagonalUp="false" diagonalDown="false">
      <left style="thin"/>
      <right style="thin"/>
      <top/>
      <bottom style="medium"/>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ck"/>
      <right/>
      <top style="thick"/>
      <bottom/>
      <diagonal/>
    </border>
    <border diagonalUp="false" diagonalDown="false">
      <left style="medium"/>
      <right style="medium"/>
      <top style="thin"/>
      <bottom style="thin"/>
      <diagonal/>
    </border>
    <border diagonalUp="false" diagonalDown="false">
      <left style="medium"/>
      <right/>
      <top/>
      <bottom style="thin"/>
      <diagonal/>
    </border>
    <border diagonalUp="false" diagonalDown="false">
      <left style="medium"/>
      <right style="medium"/>
      <top/>
      <bottom style="thin"/>
      <diagonal/>
    </border>
    <border diagonalUp="false" diagonalDown="false">
      <left/>
      <right style="thin"/>
      <top/>
      <bottom style="thin"/>
      <diagonal/>
    </border>
    <border diagonalUp="false" diagonalDown="false">
      <left style="medium"/>
      <right/>
      <top style="thin"/>
      <bottom style="thin"/>
      <diagonal/>
    </border>
    <border diagonalUp="false" diagonalDown="false">
      <left/>
      <right style="thin"/>
      <top style="thin"/>
      <bottom style="thin"/>
      <diagonal/>
    </border>
    <border diagonalUp="false" diagonalDown="false">
      <left/>
      <right style="thin"/>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5" fillId="0" borderId="0" applyFont="true" applyBorder="false" applyAlignment="true" applyProtection="false">
      <alignment horizontal="general" vertical="bottom" textRotation="0" wrapText="false" indent="0" shrinkToFit="false"/>
    </xf>
  </cellStyleXfs>
  <cellXfs count="4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true" hidden="false"/>
    </xf>
    <xf numFmtId="164" fontId="6" fillId="0" borderId="1" xfId="0" applyFont="true" applyBorder="true" applyAlignment="fals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false" applyBorder="true" applyAlignment="fals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false" hidden="false"/>
    </xf>
    <xf numFmtId="164" fontId="9" fillId="0" borderId="0" xfId="0"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7" fillId="0" borderId="0" xfId="20" applyFont="true" applyBorder="true" applyAlignment="true" applyProtection="true">
      <alignment horizontal="left" vertical="center" textRotation="0" wrapText="false" indent="0" shrinkToFit="false"/>
      <protection locked="fals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7" fillId="0" borderId="0" xfId="2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2" borderId="0" xfId="0" applyFont="false" applyBorder="true" applyAlignment="true" applyProtection="true">
      <alignment horizontal="center" vertical="center" textRotation="0" wrapText="false" indent="0" shrinkToFit="false"/>
      <protection locked="true" hidden="false"/>
    </xf>
    <xf numFmtId="164" fontId="11" fillId="0" borderId="0" xfId="20" applyFont="true" applyBorder="true" applyAlignment="true" applyProtection="true">
      <alignment horizontal="general" vertical="center" textRotation="0" wrapText="false" indent="0" shrinkToFit="false"/>
      <protection locked="true" hidden="false"/>
    </xf>
    <xf numFmtId="164" fontId="8" fillId="0" borderId="0" xfId="20" applyFont="true" applyBorder="true" applyAlignment="true" applyProtection="true">
      <alignment horizontal="right" vertical="center" textRotation="0" wrapText="false" indent="0" shrinkToFit="false"/>
      <protection locked="false" hidden="false"/>
    </xf>
    <xf numFmtId="164" fontId="8" fillId="0" borderId="0" xfId="20" applyFont="true" applyBorder="true" applyAlignment="true" applyProtection="true">
      <alignment horizontal="right"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right" vertical="center" textRotation="0" wrapText="false" indent="0" shrinkToFit="false"/>
      <protection locked="true" hidden="false"/>
    </xf>
    <xf numFmtId="164" fontId="14" fillId="3" borderId="2" xfId="0" applyFont="true" applyBorder="true" applyAlignment="true" applyProtection="true">
      <alignment horizontal="center" vertical="center" textRotation="0" wrapText="false" indent="0" shrinkToFit="false"/>
      <protection locked="true" hidden="false"/>
    </xf>
    <xf numFmtId="164" fontId="14" fillId="4" borderId="2"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right" vertical="center" textRotation="0" wrapText="false" indent="0" shrinkToFit="false"/>
      <protection locked="true" hidden="false"/>
    </xf>
    <xf numFmtId="164" fontId="13" fillId="5" borderId="2" xfId="0" applyFont="true" applyBorder="true" applyAlignment="true" applyProtection="true">
      <alignment horizontal="center" vertical="center" textRotation="0" wrapText="false" indent="0" shrinkToFit="false"/>
      <protection locked="true" hidden="false"/>
    </xf>
    <xf numFmtId="164" fontId="13" fillId="6" borderId="2" xfId="0" applyFont="true" applyBorder="true" applyAlignment="true" applyProtection="true">
      <alignment horizontal="center" vertical="center" textRotation="0" wrapText="false" indent="0" shrinkToFit="false"/>
      <protection locked="true" hidden="false"/>
    </xf>
    <xf numFmtId="164" fontId="13" fillId="7" borderId="2" xfId="0" applyFont="true" applyBorder="true" applyAlignment="true" applyProtection="true">
      <alignment horizontal="center" vertical="center" textRotation="0" wrapText="false" indent="0" shrinkToFit="false"/>
      <protection locked="true" hidden="false"/>
    </xf>
    <xf numFmtId="164" fontId="14" fillId="8" borderId="2" xfId="0" applyFont="true" applyBorder="true" applyAlignment="true" applyProtection="true">
      <alignment horizontal="center" vertical="center" textRotation="0" wrapText="false" indent="0" shrinkToFit="false"/>
      <protection locked="true" hidden="false"/>
    </xf>
    <xf numFmtId="164" fontId="11" fillId="0" borderId="0" xfId="20" applyFont="true" applyBorder="true" applyAlignment="true" applyProtection="true">
      <alignment horizontal="right" vertical="center" textRotation="0" wrapText="false" indent="0" shrinkToFit="false"/>
      <protection locked="true" hidden="false"/>
    </xf>
    <xf numFmtId="164" fontId="13" fillId="0" borderId="0" xfId="0" applyFont="true" applyBorder="true" applyAlignment="true" applyProtection="true">
      <alignment horizontal="general" vertical="center" textRotation="0" wrapText="false" indent="0" shrinkToFit="false"/>
      <protection locked="true" hidden="false"/>
    </xf>
    <xf numFmtId="164" fontId="15" fillId="0" borderId="0"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7" fillId="9" borderId="3" xfId="0" applyFont="true" applyBorder="true" applyAlignment="true" applyProtection="true">
      <alignment horizontal="center" vertical="center" textRotation="0" wrapText="true" indent="0" shrinkToFit="false"/>
      <protection locked="true" hidden="false"/>
    </xf>
    <xf numFmtId="164" fontId="17" fillId="9" borderId="4" xfId="0" applyFont="true" applyBorder="true" applyAlignment="true" applyProtection="true">
      <alignment horizontal="center" vertical="center" textRotation="0" wrapText="true" indent="0" shrinkToFit="false"/>
      <protection locked="true" hidden="false"/>
    </xf>
    <xf numFmtId="164" fontId="17" fillId="9" borderId="5" xfId="0" applyFont="true" applyBorder="true" applyAlignment="true" applyProtection="true">
      <alignment horizontal="center" vertical="center" textRotation="0" wrapText="true" indent="0" shrinkToFit="false"/>
      <protection locked="true" hidden="false"/>
    </xf>
    <xf numFmtId="164" fontId="17" fillId="9" borderId="5"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9" borderId="6" xfId="0" applyFont="true" applyBorder="true" applyAlignment="true" applyProtection="true">
      <alignment horizontal="center" vertical="center" textRotation="0" wrapText="false" indent="0" shrinkToFit="false"/>
      <protection locked="true" hidden="false"/>
    </xf>
    <xf numFmtId="164" fontId="17" fillId="9" borderId="7" xfId="0" applyFont="true" applyBorder="true" applyAlignment="true" applyProtection="true">
      <alignment horizontal="center" vertical="center" textRotation="0" wrapText="false" indent="0" shrinkToFit="false"/>
      <protection locked="true" hidden="false"/>
    </xf>
    <xf numFmtId="164" fontId="17" fillId="9" borderId="8"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19" fillId="0" borderId="9" xfId="0" applyFont="true" applyBorder="true" applyAlignment="true" applyProtection="true">
      <alignment horizontal="center" vertical="center" textRotation="0" wrapText="false" indent="0" shrinkToFit="false"/>
      <protection locked="true" hidden="false"/>
    </xf>
    <xf numFmtId="164" fontId="12" fillId="10" borderId="10" xfId="0" applyFont="true" applyBorder="true" applyAlignment="true" applyProtection="true">
      <alignment horizontal="center" vertical="center" textRotation="0" wrapText="false" indent="0" shrinkToFit="false"/>
      <protection locked="true" hidden="false"/>
    </xf>
    <xf numFmtId="164" fontId="12" fillId="10" borderId="11" xfId="0" applyFont="true" applyBorder="true" applyAlignment="true" applyProtection="true">
      <alignment horizontal="center" vertical="center" textRotation="0" wrapText="false" indent="0" shrinkToFit="false"/>
      <protection locked="true" hidden="false"/>
    </xf>
    <xf numFmtId="165" fontId="12" fillId="10" borderId="12" xfId="0" applyFont="true" applyBorder="true" applyAlignment="true" applyProtection="true">
      <alignment horizontal="center" vertical="center" textRotation="0" wrapText="false" indent="0" shrinkToFit="false"/>
      <protection locked="true" hidden="false"/>
    </xf>
    <xf numFmtId="164" fontId="14" fillId="11" borderId="13" xfId="0" applyFont="true" applyBorder="true" applyAlignment="true" applyProtection="true">
      <alignment horizontal="center" vertical="center" textRotation="0" wrapText="false" indent="0" shrinkToFit="false"/>
      <protection locked="true" hidden="false"/>
    </xf>
    <xf numFmtId="164" fontId="14" fillId="10" borderId="14" xfId="0" applyFont="true" applyBorder="true" applyAlignment="true" applyProtection="true">
      <alignment horizontal="center" vertical="center" textRotation="0" wrapText="false" indent="0" shrinkToFit="false"/>
      <protection locked="true" hidden="false"/>
    </xf>
    <xf numFmtId="165" fontId="12" fillId="4"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4" fillId="10" borderId="5"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20" fillId="7" borderId="15" xfId="0" applyFont="true" applyBorder="true" applyAlignment="true" applyProtection="true">
      <alignment horizontal="center" vertical="center" textRotation="0" wrapText="false" indent="0" shrinkToFit="false"/>
      <protection locked="true" hidden="false"/>
    </xf>
    <xf numFmtId="164" fontId="20" fillId="7" borderId="16" xfId="0" applyFont="true" applyBorder="true" applyAlignment="true" applyProtection="true">
      <alignment horizontal="center" vertical="center" textRotation="0" wrapText="false" indent="0" shrinkToFit="false"/>
      <protection locked="true" hidden="false"/>
    </xf>
    <xf numFmtId="164" fontId="20" fillId="7" borderId="17" xfId="0" applyFont="true" applyBorder="true" applyAlignment="true" applyProtection="true">
      <alignment horizontal="center" vertical="center" textRotation="0" wrapText="false" indent="0" shrinkToFit="false"/>
      <protection locked="true" hidden="false"/>
    </xf>
    <xf numFmtId="164" fontId="20" fillId="7" borderId="18" xfId="0" applyFont="true" applyBorder="true" applyAlignment="true" applyProtection="true">
      <alignment horizontal="center" vertical="center" textRotation="0" wrapText="false" indent="0" shrinkToFit="false"/>
      <protection locked="true" hidden="false"/>
    </xf>
    <xf numFmtId="164" fontId="20" fillId="7" borderId="2" xfId="0" applyFont="true" applyBorder="true" applyAlignment="true" applyProtection="true">
      <alignment horizontal="center" vertical="center" textRotation="0" wrapText="false" indent="0" shrinkToFit="false"/>
      <protection locked="true" hidden="false"/>
    </xf>
    <xf numFmtId="164" fontId="20" fillId="7" borderId="19"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0" fillId="3" borderId="20" xfId="0" applyFont="true" applyBorder="true" applyAlignment="true" applyProtection="true">
      <alignment horizontal="center" vertical="center" textRotation="0" wrapText="true" indent="0" shrinkToFit="false"/>
      <protection locked="false" hidden="false"/>
    </xf>
    <xf numFmtId="164" fontId="20" fillId="3" borderId="21" xfId="0" applyFont="true" applyBorder="true" applyAlignment="true" applyProtection="true">
      <alignment horizontal="center" vertical="center" textRotation="0" wrapText="false" indent="0" shrinkToFit="false"/>
      <protection locked="false" hidden="false"/>
    </xf>
    <xf numFmtId="164" fontId="20" fillId="3" borderId="21" xfId="0" applyFont="true" applyBorder="true" applyAlignment="true" applyProtection="true">
      <alignment horizontal="center" vertical="center" textRotation="0" wrapText="true" indent="0" shrinkToFit="false"/>
      <protection locked="false" hidden="false"/>
    </xf>
    <xf numFmtId="164" fontId="19" fillId="0" borderId="0" xfId="0" applyFont="true" applyBorder="true" applyAlignment="true" applyProtection="true">
      <alignment horizontal="right"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5" fontId="12" fillId="0" borderId="0"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general" vertical="center" textRotation="0" wrapText="false" indent="0" shrinkToFit="false"/>
      <protection locked="true" hidden="false"/>
    </xf>
    <xf numFmtId="164" fontId="14" fillId="10" borderId="13" xfId="0" applyFont="true" applyBorder="true" applyAlignment="true" applyProtection="true">
      <alignment horizontal="center" vertical="center" textRotation="0" wrapText="false" indent="0" shrinkToFit="false"/>
      <protection locked="true" hidden="false"/>
    </xf>
    <xf numFmtId="164" fontId="20" fillId="7" borderId="22" xfId="0" applyFont="true" applyBorder="true" applyAlignment="true" applyProtection="true">
      <alignment horizontal="center" vertical="center" textRotation="0" wrapText="false" indent="0" shrinkToFit="false"/>
      <protection locked="true" hidden="false"/>
    </xf>
    <xf numFmtId="164" fontId="20" fillId="7" borderId="23" xfId="0" applyFont="true" applyBorder="true" applyAlignment="true" applyProtection="true">
      <alignment horizontal="center" vertical="center" textRotation="0" wrapText="false" indent="0" shrinkToFit="false"/>
      <protection locked="true" hidden="false"/>
    </xf>
    <xf numFmtId="164" fontId="20" fillId="3" borderId="20" xfId="0" applyFont="true" applyBorder="true" applyAlignment="true" applyProtection="true">
      <alignment horizontal="center" vertical="center" textRotation="0" wrapText="false" indent="0" shrinkToFit="false"/>
      <protection locked="false" hidden="false"/>
    </xf>
    <xf numFmtId="164" fontId="20" fillId="3" borderId="24" xfId="0" applyFont="true" applyBorder="true" applyAlignment="true" applyProtection="true">
      <alignment horizontal="center" vertical="center" textRotation="0" wrapText="true" indent="0" shrinkToFit="false"/>
      <protection locked="false" hidden="false"/>
    </xf>
    <xf numFmtId="164" fontId="20" fillId="0" borderId="4" xfId="0" applyFont="true" applyBorder="true" applyAlignment="true" applyProtection="true">
      <alignment horizontal="center" vertical="center" textRotation="0" wrapText="false" indent="0" shrinkToFit="false"/>
      <protection locked="true" hidden="false"/>
    </xf>
    <xf numFmtId="164" fontId="14" fillId="11" borderId="25" xfId="0" applyFont="true" applyBorder="true" applyAlignment="true" applyProtection="true">
      <alignment horizontal="center" vertical="center" textRotation="0" wrapText="false" indent="0" shrinkToFit="false"/>
      <protection locked="true" hidden="false"/>
    </xf>
    <xf numFmtId="164" fontId="20" fillId="7" borderId="26" xfId="0" applyFont="true" applyBorder="true" applyAlignment="true" applyProtection="true">
      <alignment horizontal="center" vertical="center" textRotation="0" wrapText="false" indent="0" shrinkToFit="false"/>
      <protection locked="true" hidden="false"/>
    </xf>
    <xf numFmtId="164" fontId="20" fillId="7" borderId="27" xfId="0" applyFont="true" applyBorder="true" applyAlignment="true" applyProtection="true">
      <alignment horizontal="center" vertical="center" textRotation="0" wrapText="false" indent="0" shrinkToFit="false"/>
      <protection locked="true" hidden="false"/>
    </xf>
    <xf numFmtId="164" fontId="20" fillId="3" borderId="28" xfId="0" applyFont="true" applyBorder="true" applyAlignment="true" applyProtection="true">
      <alignment horizontal="center" vertical="center" textRotation="0" wrapText="false" indent="0" shrinkToFit="false"/>
      <protection locked="false" hidden="false"/>
    </xf>
    <xf numFmtId="164" fontId="14" fillId="5" borderId="14" xfId="0" applyFont="true" applyBorder="true" applyAlignment="true" applyProtection="true">
      <alignment horizontal="center" vertical="center" textRotation="0" wrapText="false" indent="0" shrinkToFit="false"/>
      <protection locked="true" hidden="false"/>
    </xf>
    <xf numFmtId="164" fontId="20" fillId="5" borderId="22" xfId="0" applyFont="true" applyBorder="true" applyAlignment="true" applyProtection="true">
      <alignment horizontal="center" vertical="center" textRotation="0" wrapText="false" indent="0" shrinkToFit="false"/>
      <protection locked="true" hidden="false"/>
    </xf>
    <xf numFmtId="164" fontId="20" fillId="5" borderId="21"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5" fontId="12" fillId="0"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14" fillId="2" borderId="0"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tru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12" fillId="12" borderId="0" xfId="0" applyFont="true" applyBorder="true" applyAlignment="true" applyProtection="true">
      <alignment horizontal="general" vertical="center" textRotation="0" wrapText="false" indent="0" shrinkToFit="false"/>
      <protection locked="true" hidden="false"/>
    </xf>
    <xf numFmtId="164" fontId="16" fillId="4" borderId="0" xfId="0" applyFont="true" applyBorder="true" applyAlignment="true" applyProtection="true">
      <alignment horizontal="general" vertical="center" textRotation="0" wrapText="true" indent="0" shrinkToFit="false"/>
      <protection locked="true" hidden="false"/>
    </xf>
    <xf numFmtId="164" fontId="12" fillId="13" borderId="29"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4" fillId="0" borderId="30"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6" fontId="13"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14" fillId="0" borderId="30" xfId="0" applyFont="true" applyBorder="true" applyAlignment="true" applyProtection="true">
      <alignment horizontal="center" vertical="center" textRotation="0" wrapText="false" indent="0" shrinkToFit="false"/>
      <protection locked="true" hidden="false"/>
    </xf>
    <xf numFmtId="164" fontId="14" fillId="0" borderId="9" xfId="0" applyFont="true" applyBorder="true" applyAlignment="true" applyProtection="true">
      <alignment horizontal="general" vertical="center" textRotation="0" wrapText="false" indent="0" shrinkToFit="false"/>
      <protection locked="true" hidden="false"/>
    </xf>
    <xf numFmtId="164" fontId="14" fillId="0" borderId="0" xfId="0" applyFont="true" applyBorder="true" applyAlignment="true" applyProtection="true">
      <alignment horizontal="right" vertical="center" textRotation="0" wrapText="fals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7" fontId="13" fillId="0" borderId="0" xfId="0" applyFont="true" applyBorder="true" applyAlignment="true" applyProtection="true">
      <alignment horizontal="center" vertical="center" textRotation="0" wrapText="false" indent="0" shrinkToFit="false"/>
      <protection locked="true" hidden="false"/>
    </xf>
    <xf numFmtId="164" fontId="13" fillId="12" borderId="3" xfId="0" applyFont="true" applyBorder="true" applyAlignment="true" applyProtection="true">
      <alignment horizontal="center" vertical="center" textRotation="0" wrapText="false" indent="0" shrinkToFit="false"/>
      <protection locked="true" hidden="false"/>
    </xf>
    <xf numFmtId="166" fontId="13" fillId="0" borderId="31" xfId="0" applyFont="true" applyBorder="true" applyAlignment="true" applyProtection="true">
      <alignment horizontal="center" vertical="center" textRotation="0" wrapText="false" indent="0" shrinkToFit="false"/>
      <protection locked="true" hidden="false"/>
    </xf>
    <xf numFmtId="164" fontId="14" fillId="0" borderId="30" xfId="0" applyFont="true" applyBorder="true" applyAlignment="true" applyProtection="true">
      <alignment horizontal="general" vertical="center" textRotation="0" wrapText="false" indent="0" shrinkToFit="false"/>
      <protection locked="true" hidden="false"/>
    </xf>
    <xf numFmtId="164" fontId="13" fillId="0" borderId="3" xfId="0" applyFont="true" applyBorder="true" applyAlignment="true" applyProtection="true">
      <alignment horizontal="center" vertical="center" textRotation="0" wrapText="false" indent="0" shrinkToFit="false"/>
      <protection locked="true" hidden="false"/>
    </xf>
    <xf numFmtId="164" fontId="13" fillId="4" borderId="31" xfId="0" applyFont="true" applyBorder="true" applyAlignment="true" applyProtection="true">
      <alignment horizontal="center" vertical="center" textRotation="0" wrapText="false" indent="0" shrinkToFit="false"/>
      <protection locked="true" hidden="false"/>
    </xf>
    <xf numFmtId="164" fontId="13" fillId="0" borderId="30" xfId="0" applyFont="true" applyBorder="true" applyAlignment="true" applyProtection="true">
      <alignment horizontal="right" vertical="center" textRotation="0" wrapText="false" indent="0" shrinkToFit="false"/>
      <protection locked="true" hidden="false"/>
    </xf>
    <xf numFmtId="164" fontId="13" fillId="0" borderId="32" xfId="0" applyFont="true" applyBorder="true" applyAlignment="true" applyProtection="true">
      <alignment horizontal="center" vertical="center" textRotation="0" wrapText="false" indent="0" shrinkToFit="false"/>
      <protection locked="true" hidden="false"/>
    </xf>
    <xf numFmtId="164" fontId="13" fillId="4" borderId="33" xfId="0" applyFont="true" applyBorder="true" applyAlignment="true" applyProtection="true">
      <alignment horizontal="center" vertical="center" textRotation="0" wrapText="false" indent="0" shrinkToFit="false"/>
      <protection locked="true" hidden="false"/>
    </xf>
    <xf numFmtId="164" fontId="13" fillId="0" borderId="34" xfId="0" applyFont="true" applyBorder="true" applyAlignment="true" applyProtection="true">
      <alignment horizontal="center" vertical="center" textRotation="0" wrapText="false" indent="0" shrinkToFit="false"/>
      <protection locked="true" hidden="false"/>
    </xf>
    <xf numFmtId="164" fontId="13" fillId="4" borderId="35" xfId="0" applyFont="true" applyBorder="true" applyAlignment="true" applyProtection="true">
      <alignment horizontal="center" vertical="center" textRotation="0" wrapText="false" indent="0" shrinkToFit="false"/>
      <protection locked="true" hidden="false"/>
    </xf>
    <xf numFmtId="164" fontId="13" fillId="0" borderId="30" xfId="0" applyFont="true" applyBorder="true" applyAlignment="true" applyProtection="true">
      <alignment horizontal="general" vertical="center" textRotation="0" wrapText="false" indent="0" shrinkToFit="false"/>
      <protection locked="true" hidden="false"/>
    </xf>
    <xf numFmtId="164" fontId="13" fillId="0" borderId="36" xfId="0" applyFont="true" applyBorder="true" applyAlignment="true" applyProtection="true">
      <alignment horizontal="center" vertical="center" textRotation="0" wrapText="false" indent="0" shrinkToFit="false"/>
      <protection locked="true" hidden="false"/>
    </xf>
    <xf numFmtId="164" fontId="13" fillId="4" borderId="37" xfId="0" applyFont="true" applyBorder="true" applyAlignment="true" applyProtection="true">
      <alignment horizontal="center" vertical="center" textRotation="0" wrapText="false" indent="0" shrinkToFit="false"/>
      <protection locked="true" hidden="false"/>
    </xf>
    <xf numFmtId="164" fontId="13" fillId="0" borderId="38" xfId="0" applyFont="true" applyBorder="true" applyAlignment="true" applyProtection="true">
      <alignment horizontal="center" vertical="center" textRotation="0" wrapText="false" indent="0" shrinkToFit="false"/>
      <protection locked="true" hidden="false"/>
    </xf>
    <xf numFmtId="164" fontId="13" fillId="4" borderId="39" xfId="0" applyFont="true" applyBorder="true" applyAlignment="true" applyProtection="true">
      <alignment horizontal="center" vertical="center" textRotation="0" wrapText="false" indent="0" shrinkToFit="false"/>
      <protection locked="true" hidden="false"/>
    </xf>
    <xf numFmtId="164" fontId="13" fillId="0" borderId="40" xfId="0" applyFont="true" applyBorder="true" applyAlignment="true" applyProtection="true">
      <alignment horizontal="center" vertical="center" textRotation="0" wrapText="false" indent="0" shrinkToFit="false"/>
      <protection locked="true" hidden="false"/>
    </xf>
    <xf numFmtId="164" fontId="13" fillId="4" borderId="41" xfId="0" applyFont="true" applyBorder="true" applyAlignment="true" applyProtection="true">
      <alignment horizontal="center" vertical="center" textRotation="0" wrapText="false" indent="0" shrinkToFit="false"/>
      <protection locked="true" hidden="false"/>
    </xf>
    <xf numFmtId="164" fontId="13" fillId="0" borderId="42" xfId="0" applyFont="true" applyBorder="true" applyAlignment="true" applyProtection="true">
      <alignment horizontal="center" vertical="center" textRotation="0" wrapText="false" indent="0" shrinkToFit="false"/>
      <protection locked="true" hidden="false"/>
    </xf>
    <xf numFmtId="164" fontId="13" fillId="4" borderId="26" xfId="0" applyFont="true" applyBorder="true" applyAlignment="true" applyProtection="true">
      <alignment horizontal="center" vertical="center" textRotation="0" wrapText="false" indent="0" shrinkToFit="false"/>
      <protection locked="true" hidden="false"/>
    </xf>
    <xf numFmtId="164" fontId="13" fillId="0" borderId="43" xfId="0" applyFont="true" applyBorder="true" applyAlignment="true" applyProtection="true">
      <alignment horizontal="center" vertical="center" textRotation="0" wrapText="false" indent="0" shrinkToFit="false"/>
      <protection locked="true" hidden="false"/>
    </xf>
    <xf numFmtId="164" fontId="13" fillId="4" borderId="44" xfId="0" applyFont="true" applyBorder="true" applyAlignment="true" applyProtection="true">
      <alignment horizontal="center" vertical="center" textRotation="0" wrapText="false" indent="0" shrinkToFit="false"/>
      <protection locked="true" hidden="false"/>
    </xf>
    <xf numFmtId="164" fontId="13" fillId="0" borderId="15" xfId="0" applyFont="true" applyBorder="true" applyAlignment="true" applyProtection="true">
      <alignment horizontal="center" vertical="center" textRotation="0" wrapText="false" indent="0" shrinkToFit="false"/>
      <protection locked="true" hidden="false"/>
    </xf>
    <xf numFmtId="164" fontId="13" fillId="4" borderId="17" xfId="0" applyFont="true" applyBorder="true" applyAlignment="true" applyProtection="true">
      <alignment horizontal="center" vertical="center" textRotation="0" wrapText="false" indent="0" shrinkToFit="false"/>
      <protection locked="true" hidden="false"/>
    </xf>
    <xf numFmtId="164" fontId="14" fillId="0" borderId="36" xfId="0" applyFont="true" applyBorder="true" applyAlignment="true" applyProtection="true">
      <alignment horizontal="center" vertical="center" textRotation="0" wrapText="false" indent="0" shrinkToFit="false"/>
      <protection locked="true" hidden="false"/>
    </xf>
    <xf numFmtId="166" fontId="14" fillId="0" borderId="37" xfId="0" applyFont="true" applyBorder="true" applyAlignment="true" applyProtection="true">
      <alignment horizontal="center" vertical="center" textRotation="0" wrapText="false" indent="0" shrinkToFit="false"/>
      <protection locked="true" hidden="false"/>
    </xf>
    <xf numFmtId="164" fontId="14" fillId="0" borderId="38" xfId="0" applyFont="true" applyBorder="true" applyAlignment="true" applyProtection="true">
      <alignment horizontal="center" vertical="center" textRotation="0" wrapText="false" indent="0" shrinkToFit="false"/>
      <protection locked="true" hidden="false"/>
    </xf>
    <xf numFmtId="166" fontId="14" fillId="0" borderId="39" xfId="0" applyFont="true" applyBorder="true" applyAlignment="true" applyProtection="true">
      <alignment horizontal="center" vertical="center" textRotation="0" wrapText="false" indent="0" shrinkToFit="false"/>
      <protection locked="true" hidden="false"/>
    </xf>
    <xf numFmtId="164" fontId="14" fillId="0" borderId="42" xfId="0" applyFont="true" applyBorder="true" applyAlignment="true" applyProtection="true">
      <alignment horizontal="center" vertical="center" textRotation="0" wrapText="false" indent="0" shrinkToFit="false"/>
      <protection locked="true" hidden="false"/>
    </xf>
    <xf numFmtId="166" fontId="14" fillId="0" borderId="26" xfId="0" applyFont="true" applyBorder="true" applyAlignment="true" applyProtection="true">
      <alignment horizontal="center" vertical="center" textRotation="0" wrapText="false" indent="0" shrinkToFit="false"/>
      <protection locked="true" hidden="false"/>
    </xf>
    <xf numFmtId="164" fontId="14" fillId="0" borderId="30" xfId="0" applyFont="true" applyBorder="true" applyAlignment="true" applyProtection="true">
      <alignment horizontal="right" vertical="center" textRotation="0" wrapText="false" indent="0" shrinkToFit="false"/>
      <protection locked="true" hidden="false"/>
    </xf>
    <xf numFmtId="168" fontId="14" fillId="0" borderId="39" xfId="0" applyFont="true" applyBorder="true" applyAlignment="true" applyProtection="true">
      <alignment horizontal="center" vertical="center" textRotation="0" wrapText="false" indent="0" shrinkToFit="false"/>
      <protection locked="true" hidden="false"/>
    </xf>
    <xf numFmtId="164" fontId="14" fillId="0" borderId="30" xfId="0" applyFont="true" applyBorder="true" applyAlignment="true" applyProtection="true">
      <alignment horizontal="right" vertical="center" textRotation="0" wrapText="false" indent="0" shrinkToFit="false"/>
      <protection locked="true" hidden="false"/>
    </xf>
    <xf numFmtId="168" fontId="14" fillId="0" borderId="37" xfId="0" applyFont="true" applyBorder="true" applyAlignment="true" applyProtection="true">
      <alignment horizontal="center" vertical="center" textRotation="0" wrapText="false" indent="0" shrinkToFit="false"/>
      <protection locked="true" hidden="false"/>
    </xf>
    <xf numFmtId="164" fontId="14" fillId="0" borderId="43" xfId="0" applyFont="true" applyBorder="true" applyAlignment="true" applyProtection="true">
      <alignment horizontal="center" vertical="center" textRotation="0" wrapText="false" indent="0" shrinkToFit="false"/>
      <protection locked="true" hidden="false"/>
    </xf>
    <xf numFmtId="166" fontId="14" fillId="0" borderId="44"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8" fontId="14" fillId="0" borderId="0" xfId="0" applyFont="true" applyBorder="true" applyAlignment="true" applyProtection="true">
      <alignment horizontal="center" vertical="center" textRotation="0" wrapText="false" indent="0" shrinkToFit="false"/>
      <protection locked="true" hidden="false"/>
    </xf>
    <xf numFmtId="164" fontId="13" fillId="12" borderId="45" xfId="0" applyFont="true" applyBorder="true" applyAlignment="true" applyProtection="true">
      <alignment horizontal="center" vertical="center" textRotation="0" wrapText="false" indent="0" shrinkToFit="false"/>
      <protection locked="true" hidden="false"/>
    </xf>
    <xf numFmtId="166" fontId="13" fillId="0" borderId="41" xfId="0" applyFont="true" applyBorder="true" applyAlignment="true" applyProtection="true">
      <alignment horizontal="center" vertical="center" textRotation="0" wrapText="false" indent="0" shrinkToFit="false"/>
      <protection locked="true" hidden="false"/>
    </xf>
    <xf numFmtId="164" fontId="13" fillId="0" borderId="10" xfId="0" applyFont="true" applyBorder="true" applyAlignment="true" applyProtection="true">
      <alignment horizontal="center" vertical="center" textRotation="0" wrapText="false" indent="0" shrinkToFit="false"/>
      <protection locked="true" hidden="false"/>
    </xf>
    <xf numFmtId="167" fontId="13" fillId="0" borderId="31" xfId="0" applyFont="true" applyBorder="true" applyAlignment="true" applyProtection="true">
      <alignment horizontal="center" vertical="center" textRotation="0" wrapText="false" indent="0" shrinkToFit="false"/>
      <protection locked="true" hidden="false"/>
    </xf>
    <xf numFmtId="164" fontId="14" fillId="4" borderId="46" xfId="0" applyFont="true" applyBorder="true" applyAlignment="true" applyProtection="true">
      <alignment horizontal="center" vertical="center" textRotation="0" wrapText="false" indent="0" shrinkToFit="false"/>
      <protection locked="true" hidden="false"/>
    </xf>
    <xf numFmtId="164" fontId="14" fillId="0" borderId="39" xfId="0" applyFont="true" applyBorder="true" applyAlignment="true" applyProtection="true">
      <alignment horizontal="center" vertical="center" textRotation="0" wrapText="false" indent="0" shrinkToFit="false"/>
      <protection locked="true" hidden="false"/>
    </xf>
    <xf numFmtId="169" fontId="14" fillId="0" borderId="0" xfId="0" applyFont="true" applyBorder="true" applyAlignment="true" applyProtection="true">
      <alignment horizontal="general" vertical="center" textRotation="0" wrapText="false" indent="0" shrinkToFit="false"/>
      <protection locked="true" hidden="false"/>
    </xf>
    <xf numFmtId="168" fontId="14" fillId="0" borderId="33" xfId="0" applyFont="true" applyBorder="true" applyAlignment="true" applyProtection="true">
      <alignment horizontal="center" vertical="center" textRotation="0" wrapText="false" indent="0" shrinkToFit="false"/>
      <protection locked="true" hidden="false"/>
    </xf>
    <xf numFmtId="164" fontId="14" fillId="0" borderId="43" xfId="0" applyFont="true" applyBorder="true" applyAlignment="true" applyProtection="true">
      <alignment horizontal="center" vertical="center" textRotation="0" wrapText="true" indent="0" shrinkToFit="false"/>
      <protection locked="true" hidden="false"/>
    </xf>
    <xf numFmtId="164" fontId="14" fillId="0" borderId="44" xfId="0" applyFont="true" applyBorder="true" applyAlignment="true" applyProtection="true">
      <alignment horizontal="center" vertical="center" textRotation="0" wrapText="false" indent="0" shrinkToFit="false"/>
      <protection locked="true" hidden="false"/>
    </xf>
    <xf numFmtId="164" fontId="14" fillId="0" borderId="38" xfId="0" applyFont="true" applyBorder="true" applyAlignment="true" applyProtection="true">
      <alignment horizontal="center" vertical="center" textRotation="0" wrapText="true" indent="0" shrinkToFit="false"/>
      <protection locked="true" hidden="false"/>
    </xf>
    <xf numFmtId="170" fontId="14" fillId="0"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center" vertical="center" textRotation="0" wrapText="false" indent="0" shrinkToFit="false"/>
      <protection locked="true" hidden="false"/>
    </xf>
    <xf numFmtId="166" fontId="24" fillId="0" borderId="0" xfId="0" applyFont="true" applyBorder="true" applyAlignment="true" applyProtection="true">
      <alignment horizontal="center" vertical="center" textRotation="0" wrapText="false" indent="0" shrinkToFit="false"/>
      <protection locked="true" hidden="false"/>
    </xf>
    <xf numFmtId="164" fontId="14" fillId="0" borderId="0" xfId="15" applyFont="true" applyBorder="true" applyAlignment="true" applyProtection="true">
      <alignment horizontal="general" vertical="center" textRotation="0" wrapText="false" indent="0" shrinkToFit="false"/>
      <protection locked="true" hidden="false"/>
    </xf>
    <xf numFmtId="168" fontId="24" fillId="0" borderId="0" xfId="0" applyFont="true" applyBorder="true" applyAlignment="true" applyProtection="true">
      <alignment horizontal="center" vertical="center" textRotation="0" wrapText="false" indent="0" shrinkToFit="false"/>
      <protection locked="true" hidden="false"/>
    </xf>
    <xf numFmtId="164" fontId="14" fillId="0" borderId="47" xfId="0" applyFont="true" applyBorder="true" applyAlignment="true" applyProtection="true">
      <alignment horizontal="general" vertical="center" textRotation="0" wrapText="false" indent="0" shrinkToFit="false"/>
      <protection locked="true" hidden="false"/>
    </xf>
    <xf numFmtId="164" fontId="14" fillId="0" borderId="1" xfId="0" applyFont="true" applyBorder="true" applyAlignment="true" applyProtection="true">
      <alignment horizontal="general" vertical="center" textRotation="0" wrapText="false" indent="0" shrinkToFit="false"/>
      <protection locked="true" hidden="false"/>
    </xf>
    <xf numFmtId="164" fontId="14" fillId="0" borderId="48" xfId="0" applyFont="true" applyBorder="true" applyAlignment="true" applyProtection="true">
      <alignment horizontal="general" vertical="center" textRotation="0" wrapText="false" indent="0" shrinkToFit="false"/>
      <protection locked="true" hidden="false"/>
    </xf>
    <xf numFmtId="164" fontId="14" fillId="0" borderId="1" xfId="15" applyFont="true" applyBorder="true" applyAlignment="true" applyProtection="true">
      <alignment horizontal="general" vertical="center" textRotation="0" wrapText="false" indent="0" shrinkToFit="false"/>
      <protection locked="true" hidden="false"/>
    </xf>
    <xf numFmtId="168" fontId="14" fillId="0" borderId="1"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25" fillId="0" borderId="0" xfId="20" applyFont="true" applyBorder="tru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5" fillId="0" borderId="0" xfId="20" applyFont="true" applyBorder="true" applyAlignment="true" applyProtection="true">
      <alignment horizontal="right" vertical="center" textRotation="0" wrapText="false" indent="0" shrinkToFit="false"/>
      <protection locked="true" hidden="false"/>
    </xf>
    <xf numFmtId="164" fontId="16" fillId="0" borderId="1" xfId="0" applyFont="true" applyBorder="true" applyAlignment="true" applyProtection="true">
      <alignment horizontal="left" vertical="center" textRotation="0" wrapText="true" indent="0" shrinkToFit="false"/>
      <protection locked="true" hidden="false"/>
    </xf>
    <xf numFmtId="164" fontId="27" fillId="0" borderId="0" xfId="0" applyFont="true" applyBorder="true" applyAlignment="true" applyProtection="true">
      <alignment horizontal="center" vertical="center" textRotation="0" wrapText="tru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29" fillId="10" borderId="5" xfId="0" applyFont="true" applyBorder="true" applyAlignment="true" applyProtection="true">
      <alignment horizontal="center" vertical="center" textRotation="0" wrapText="false" indent="0" shrinkToFit="false"/>
      <protection locked="true" hidden="false"/>
    </xf>
    <xf numFmtId="164" fontId="30" fillId="0" borderId="0" xfId="0" applyFont="true" applyBorder="true" applyAlignment="true" applyProtection="true">
      <alignment horizontal="center" vertical="center" textRotation="0" wrapText="false" indent="0" shrinkToFit="false"/>
      <protection locked="true" hidden="false"/>
    </xf>
    <xf numFmtId="164" fontId="14" fillId="7" borderId="49" xfId="0" applyFont="true" applyBorder="true" applyAlignment="true" applyProtection="true">
      <alignment horizontal="center" vertical="center" textRotation="0" wrapText="false" indent="0" shrinkToFit="false"/>
      <protection locked="true" hidden="false"/>
    </xf>
    <xf numFmtId="164" fontId="14" fillId="3" borderId="50" xfId="0" applyFont="true" applyBorder="true" applyAlignment="true" applyProtection="true">
      <alignment horizontal="center" vertical="center" textRotation="0" wrapText="false" indent="0" shrinkToFit="false"/>
      <protection locked="false" hidden="false"/>
    </xf>
    <xf numFmtId="164" fontId="14" fillId="7" borderId="51"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31" fillId="0" borderId="0" xfId="2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right" vertical="center" textRotation="0" wrapText="false" indent="0" shrinkToFit="false"/>
      <protection locked="true" hidden="false"/>
    </xf>
    <xf numFmtId="164" fontId="14" fillId="7" borderId="52" xfId="0" applyFont="true" applyBorder="true" applyAlignment="true" applyProtection="true">
      <alignment horizontal="center" vertical="center" textRotation="0" wrapText="false" indent="0" shrinkToFit="false"/>
      <protection locked="true" hidden="false"/>
    </xf>
    <xf numFmtId="164" fontId="14" fillId="3" borderId="53" xfId="0" applyFont="true" applyBorder="true" applyAlignment="true" applyProtection="true">
      <alignment horizontal="center" vertical="center" textRotation="0" wrapText="false" indent="0" shrinkToFit="false"/>
      <protection locked="false" hidden="false"/>
    </xf>
    <xf numFmtId="164" fontId="14" fillId="7" borderId="54" xfId="0" applyFont="true" applyBorder="true" applyAlignment="true" applyProtection="true">
      <alignment horizontal="center" vertical="center" textRotation="0" wrapText="false" indent="0" shrinkToFit="false"/>
      <protection locked="true" hidden="false"/>
    </xf>
    <xf numFmtId="164" fontId="32" fillId="0" borderId="0" xfId="0" applyFont="true" applyBorder="false" applyAlignment="true" applyProtection="true">
      <alignment horizontal="left" vertical="center" textRotation="0" wrapText="false" indent="0" shrinkToFit="false"/>
      <protection locked="true" hidden="false"/>
    </xf>
    <xf numFmtId="164" fontId="33" fillId="14" borderId="2" xfId="0" applyFont="true" applyBorder="true" applyAlignment="true" applyProtection="true">
      <alignment horizontal="center" vertical="center" textRotation="0" wrapText="false" indent="0" shrinkToFit="false"/>
      <protection locked="true" hidden="false"/>
    </xf>
    <xf numFmtId="164" fontId="14" fillId="7" borderId="55" xfId="0" applyFont="true" applyBorder="true" applyAlignment="true" applyProtection="true">
      <alignment horizontal="center" vertical="center" textRotation="0" wrapText="false" indent="0" shrinkToFit="false"/>
      <protection locked="true" hidden="false"/>
    </xf>
    <xf numFmtId="164" fontId="14" fillId="3" borderId="56" xfId="0" applyFont="true" applyBorder="true" applyAlignment="true" applyProtection="true">
      <alignment horizontal="center" vertical="center" textRotation="0" wrapText="false" indent="0" shrinkToFit="false"/>
      <protection locked="false" hidden="false"/>
    </xf>
    <xf numFmtId="164" fontId="14" fillId="7" borderId="57" xfId="0" applyFont="true" applyBorder="true" applyAlignment="true" applyProtection="true">
      <alignment horizontal="center" vertical="center" textRotation="0" wrapText="false" indent="0" shrinkToFit="false"/>
      <protection locked="true" hidden="false"/>
    </xf>
    <xf numFmtId="172" fontId="9"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34" fillId="0" borderId="0" xfId="0" applyFont="true" applyBorder="true" applyAlignment="true" applyProtection="true">
      <alignment horizontal="center" vertical="center" textRotation="0" wrapText="false" indent="0" shrinkToFit="false"/>
      <protection locked="true" hidden="false"/>
    </xf>
    <xf numFmtId="164" fontId="36" fillId="3" borderId="53"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true" applyProtection="true">
      <alignment horizontal="general"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true" indent="0" shrinkToFit="false"/>
      <protection locked="true" hidden="false"/>
    </xf>
    <xf numFmtId="164" fontId="29" fillId="2" borderId="5"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4" fontId="14" fillId="0" borderId="52" xfId="0" applyFont="true" applyBorder="true" applyAlignment="true" applyProtection="true">
      <alignment horizontal="center" vertical="center" textRotation="0" wrapText="false" indent="0" shrinkToFit="false"/>
      <protection locked="true" hidden="false"/>
    </xf>
    <xf numFmtId="164" fontId="14" fillId="3" borderId="54" xfId="0" applyFont="true" applyBorder="true" applyAlignment="true" applyProtection="true">
      <alignment horizontal="center" vertical="center" textRotation="0" wrapText="false" indent="0" shrinkToFit="false"/>
      <protection locked="fals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32" fillId="0" borderId="0" xfId="0" applyFont="true" applyBorder="true" applyAlignment="true" applyProtection="true">
      <alignment horizontal="right" vertical="center" textRotation="0" wrapText="false" indent="0" shrinkToFit="false"/>
      <protection locked="true" hidden="false"/>
    </xf>
    <xf numFmtId="164" fontId="14" fillId="7" borderId="58" xfId="0" applyFont="true" applyBorder="true" applyAlignment="true" applyProtection="true">
      <alignment horizontal="center" vertical="center" textRotation="0" wrapText="false" indent="0" shrinkToFit="false"/>
      <protection locked="true" hidden="false"/>
    </xf>
    <xf numFmtId="164" fontId="36" fillId="3" borderId="59" xfId="0" applyFont="true" applyBorder="true" applyAlignment="true" applyProtection="true">
      <alignment horizontal="center" vertical="center" textRotation="0" wrapText="false" indent="0" shrinkToFit="false"/>
      <protection locked="false" hidden="false"/>
    </xf>
    <xf numFmtId="164" fontId="14" fillId="7" borderId="60" xfId="0" applyFont="true" applyBorder="true" applyAlignment="true" applyProtection="true">
      <alignment horizontal="center" vertical="center" textRotation="0" wrapText="false" indent="0" shrinkToFit="false"/>
      <protection locked="true" hidden="false"/>
    </xf>
    <xf numFmtId="164" fontId="32" fillId="0" borderId="0" xfId="0" applyFont="true" applyBorder="true" applyAlignment="true" applyProtection="true">
      <alignment horizontal="left" vertical="center" textRotation="0" wrapText="false" indent="0" shrinkToFit="false"/>
      <protection locked="true" hidden="false"/>
    </xf>
    <xf numFmtId="164" fontId="32" fillId="0" borderId="0" xfId="0" applyFont="true" applyBorder="true" applyAlignment="true" applyProtection="true">
      <alignment horizontal="right" vertical="center" textRotation="0" wrapText="false" indent="0" shrinkToFit="false"/>
      <protection locked="true" hidden="false"/>
    </xf>
    <xf numFmtId="164" fontId="36" fillId="3" borderId="56" xfId="0" applyFont="true" applyBorder="true" applyAlignment="true" applyProtection="true">
      <alignment horizontal="center" vertical="center" textRotation="0" wrapText="false" indent="0" shrinkToFit="false"/>
      <protection locked="false" hidden="false"/>
    </xf>
    <xf numFmtId="164" fontId="32" fillId="0" borderId="0" xfId="0" applyFont="true" applyBorder="true" applyAlignment="true" applyProtection="true">
      <alignment horizontal="left" vertical="center" textRotation="0" wrapText="false" indent="0" shrinkToFit="false"/>
      <protection locked="true" hidden="false"/>
    </xf>
    <xf numFmtId="164" fontId="29" fillId="12" borderId="5"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39" fillId="0" borderId="54" xfId="0" applyFont="true" applyBorder="true" applyAlignment="true" applyProtection="true">
      <alignment horizontal="left" vertical="center" textRotation="0" wrapText="false" indent="0" shrinkToFit="false"/>
      <protection locked="true" hidden="false"/>
    </xf>
    <xf numFmtId="164" fontId="40" fillId="0" borderId="0" xfId="0" applyFont="true" applyBorder="false" applyAlignment="true" applyProtection="true">
      <alignment horizontal="center" vertical="center" textRotation="0" wrapText="false" indent="0" shrinkToFit="false"/>
      <protection locked="true" hidden="false"/>
    </xf>
    <xf numFmtId="164" fontId="14" fillId="4" borderId="54" xfId="0" applyFont="true" applyBorder="true" applyAlignment="true" applyProtection="true">
      <alignment horizontal="center" vertical="center" textRotation="0" wrapText="false" indent="0" shrinkToFit="false"/>
      <protection locked="true" hidden="false"/>
    </xf>
    <xf numFmtId="164" fontId="14" fillId="4" borderId="54" xfId="0" applyFont="true" applyBorder="true" applyAlignment="true" applyProtection="true">
      <alignment horizontal="center" vertical="center" textRotation="0" wrapText="false" indent="0" shrinkToFit="false"/>
      <protection locked="true" hidden="false"/>
    </xf>
    <xf numFmtId="164" fontId="39" fillId="0" borderId="60" xfId="0" applyFont="true" applyBorder="true" applyAlignment="true" applyProtection="true">
      <alignment horizontal="left" vertical="center" textRotation="0" wrapText="false" indent="0" shrinkToFit="false"/>
      <protection locked="true" hidden="false"/>
    </xf>
    <xf numFmtId="164" fontId="41" fillId="0" borderId="0" xfId="0" applyFont="true" applyBorder="true" applyAlignment="true" applyProtection="true">
      <alignment horizontal="center" vertical="center" textRotation="0" wrapText="false" indent="0" shrinkToFit="false"/>
      <protection locked="true" hidden="false"/>
    </xf>
    <xf numFmtId="164" fontId="14" fillId="4" borderId="60" xfId="0" applyFont="true" applyBorder="true" applyAlignment="true" applyProtection="true">
      <alignment horizontal="center" vertical="center" textRotation="0" wrapText="false" indent="0" shrinkToFit="false"/>
      <protection locked="true" hidden="false"/>
    </xf>
    <xf numFmtId="164" fontId="19" fillId="0" borderId="60" xfId="0" applyFont="true" applyBorder="true" applyAlignment="true" applyProtection="true">
      <alignment horizontal="left" vertical="center" textRotation="0" wrapText="false" indent="0" shrinkToFit="false"/>
      <protection locked="true" hidden="false"/>
    </xf>
    <xf numFmtId="164" fontId="32" fillId="0" borderId="0" xfId="0" applyFont="true" applyBorder="false" applyAlignment="true" applyProtection="true">
      <alignment horizontal="right" vertical="center" textRotation="0" wrapText="false" indent="0" shrinkToFit="false"/>
      <protection locked="true" hidden="false"/>
    </xf>
    <xf numFmtId="164" fontId="14" fillId="4" borderId="57" xfId="0" applyFont="true" applyBorder="true" applyAlignment="true" applyProtection="true">
      <alignment horizontal="center" vertical="center" textRotation="0" wrapText="false" indent="0" shrinkToFit="false"/>
      <protection locked="true" hidden="false"/>
    </xf>
    <xf numFmtId="164" fontId="32" fillId="0" borderId="0" xfId="0" applyFont="true" applyBorder="false" applyAlignment="true" applyProtection="true">
      <alignment horizontal="left" vertical="center" textRotation="0" wrapText="false" indent="0" shrinkToFit="false"/>
      <protection locked="true" hidden="false"/>
    </xf>
    <xf numFmtId="164" fontId="42" fillId="0" borderId="0" xfId="0" applyFont="true" applyBorder="false" applyAlignment="true" applyProtection="true">
      <alignment horizontal="left" vertical="center" textRotation="0" wrapText="false" indent="0" shrinkToFit="false"/>
      <protection locked="true" hidden="false"/>
    </xf>
    <xf numFmtId="164" fontId="19" fillId="0" borderId="57" xfId="0" applyFont="true" applyBorder="true" applyAlignment="true" applyProtection="true">
      <alignment horizontal="left" vertical="center" textRotation="0" wrapText="false" indent="0" shrinkToFit="false"/>
      <protection locked="true" hidden="false"/>
    </xf>
    <xf numFmtId="164" fontId="43" fillId="13" borderId="61" xfId="22"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general" vertical="center" textRotation="0" wrapText="fals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9" fillId="0" borderId="2" xfId="0" applyFont="true" applyBorder="true" applyAlignment="true" applyProtection="true">
      <alignment horizontal="general" vertical="center" textRotation="0" wrapText="false" indent="0" shrinkToFit="false"/>
      <protection locked="true" hidden="false"/>
    </xf>
    <xf numFmtId="164" fontId="9" fillId="7" borderId="2"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4" fontId="9" fillId="0" borderId="2" xfId="0" applyFont="true" applyBorder="true" applyAlignment="true" applyProtection="true">
      <alignment horizontal="general" vertical="center" textRotation="0" wrapText="false" indent="0" shrinkToFit="false"/>
      <protection locked="true" hidden="false"/>
    </xf>
    <xf numFmtId="164" fontId="9" fillId="0" borderId="2" xfId="0" applyFont="true" applyBorder="true" applyAlignment="true" applyProtection="true">
      <alignment horizontal="center" vertical="center" textRotation="0" wrapText="false" indent="0" shrinkToFit="false"/>
      <protection locked="true" hidden="false"/>
    </xf>
    <xf numFmtId="164" fontId="28" fillId="0" borderId="2"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9" fillId="0" borderId="2" xfId="0" applyFont="true" applyBorder="true" applyAlignment="true" applyProtection="true">
      <alignment horizontal="left"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false" indent="0" shrinkToFit="false"/>
      <protection locked="true" hidden="false"/>
    </xf>
    <xf numFmtId="164" fontId="47" fillId="15" borderId="13" xfId="0" applyFont="true" applyBorder="true" applyAlignment="true" applyProtection="true">
      <alignment horizontal="center" vertical="center" textRotation="0" wrapText="false" indent="0" shrinkToFit="false"/>
      <protection locked="true" hidden="false"/>
    </xf>
    <xf numFmtId="164" fontId="6" fillId="12" borderId="15" xfId="0" applyFont="true" applyBorder="true" applyAlignment="true" applyProtection="true">
      <alignment horizontal="center" vertical="center" textRotation="0" wrapText="false" indent="0" shrinkToFit="false"/>
      <protection locked="true" hidden="false"/>
    </xf>
    <xf numFmtId="164" fontId="6" fillId="12" borderId="16" xfId="0" applyFont="true" applyBorder="true" applyAlignment="true" applyProtection="true">
      <alignment horizontal="center" vertical="center" textRotation="0" wrapText="false" indent="0" shrinkToFit="false"/>
      <protection locked="true" hidden="false"/>
    </xf>
    <xf numFmtId="164" fontId="6" fillId="12" borderId="17" xfId="0" applyFont="true" applyBorder="true" applyAlignment="true" applyProtection="true">
      <alignment horizontal="center" vertical="center" textRotation="0" wrapText="false" indent="0" shrinkToFit="false"/>
      <protection locked="true" hidden="false"/>
    </xf>
    <xf numFmtId="164" fontId="9" fillId="0" borderId="38" xfId="0" applyFont="true" applyBorder="true" applyAlignment="true" applyProtection="true">
      <alignment horizontal="center" vertical="center" textRotation="0" wrapText="false" indent="0" shrinkToFit="false"/>
      <protection locked="true" hidden="false"/>
    </xf>
    <xf numFmtId="164" fontId="9" fillId="0" borderId="62" xfId="0" applyFont="true" applyBorder="true" applyAlignment="true" applyProtection="true">
      <alignment horizontal="center" vertical="center" textRotation="0" wrapText="false" indent="0" shrinkToFit="false"/>
      <protection locked="true" hidden="false"/>
    </xf>
    <xf numFmtId="164" fontId="9" fillId="0" borderId="39" xfId="0" applyFont="true" applyBorder="true" applyAlignment="true" applyProtection="true">
      <alignment horizontal="center" vertical="center" textRotation="0" wrapText="false" indent="0" shrinkToFit="false"/>
      <protection locked="true" hidden="false"/>
    </xf>
    <xf numFmtId="164" fontId="9" fillId="0" borderId="42" xfId="0" applyFont="true" applyBorder="true" applyAlignment="true" applyProtection="true">
      <alignment horizontal="center" vertical="center" textRotation="0" wrapText="false" indent="0" shrinkToFit="false"/>
      <protection locked="true" hidden="false"/>
    </xf>
    <xf numFmtId="164" fontId="9" fillId="0" borderId="26" xfId="0" applyFont="true" applyBorder="true" applyAlignment="true" applyProtection="true">
      <alignment horizontal="center" vertical="center" textRotation="0" wrapText="false" indent="0" shrinkToFit="false"/>
      <protection locked="true" hidden="false"/>
    </xf>
    <xf numFmtId="164" fontId="9" fillId="0" borderId="43" xfId="0" applyFont="true" applyBorder="true" applyAlignment="true" applyProtection="true">
      <alignment horizontal="center" vertical="center" textRotation="0" wrapText="false" indent="0" shrinkToFit="false"/>
      <protection locked="true" hidden="false"/>
    </xf>
    <xf numFmtId="164" fontId="9" fillId="0" borderId="63" xfId="0" applyFont="true" applyBorder="true" applyAlignment="true" applyProtection="true">
      <alignment horizontal="center" vertical="center" textRotation="0" wrapText="false" indent="0" shrinkToFit="false"/>
      <protection locked="true" hidden="false"/>
    </xf>
    <xf numFmtId="164" fontId="9" fillId="0" borderId="44" xfId="0" applyFont="true" applyBorder="true" applyAlignment="true" applyProtection="true">
      <alignment horizontal="center" vertical="center" textRotation="0" wrapText="false" indent="0" shrinkToFit="false"/>
      <protection locked="true" hidden="false"/>
    </xf>
    <xf numFmtId="173" fontId="9" fillId="0" borderId="2" xfId="0" applyFont="true" applyBorder="true" applyAlignment="true" applyProtection="true">
      <alignment horizontal="center" vertical="center" textRotation="0" wrapText="false" indent="0" shrinkToFit="false"/>
      <protection locked="true" hidden="false"/>
    </xf>
    <xf numFmtId="164" fontId="9" fillId="3" borderId="2" xfId="0" applyFont="true" applyBorder="true" applyAlignment="true" applyProtection="true">
      <alignment horizontal="center" vertical="center" textRotation="0" wrapText="false" indent="0" shrinkToFit="false"/>
      <protection locked="true" hidden="false"/>
    </xf>
    <xf numFmtId="164" fontId="9" fillId="0" borderId="2"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8"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9" fillId="0" borderId="2" xfId="0" applyFont="true" applyBorder="true" applyAlignment="true" applyProtection="true">
      <alignment horizontal="right" vertical="center" textRotation="0" wrapText="false" indent="0" shrinkToFit="false"/>
      <protection locked="true" hidden="false"/>
    </xf>
    <xf numFmtId="174" fontId="0" fillId="0" borderId="0" xfId="0" applyFont="false" applyBorder="false" applyAlignment="true" applyProtection="true">
      <alignment horizontal="general" vertical="center" textRotation="0" wrapText="false" indent="0" shrinkToFit="false"/>
      <protection locked="true" hidden="false"/>
    </xf>
    <xf numFmtId="174" fontId="0" fillId="0" borderId="64" xfId="0" applyFont="true" applyBorder="true" applyAlignment="true" applyProtection="true">
      <alignment horizontal="general" vertical="center" textRotation="0" wrapText="false" indent="0" shrinkToFit="false"/>
      <protection locked="true" hidden="false"/>
    </xf>
    <xf numFmtId="174" fontId="0" fillId="0" borderId="0" xfId="0" applyFont="true" applyBorder="true" applyAlignment="true" applyProtection="true">
      <alignment horizontal="general" vertical="center" textRotation="0" wrapText="false" indent="0" shrinkToFit="false"/>
      <protection locked="true" hidden="false"/>
    </xf>
    <xf numFmtId="164" fontId="49" fillId="0" borderId="0" xfId="0" applyFont="true" applyBorder="true" applyAlignment="true" applyProtection="true">
      <alignment horizontal="center" vertical="center" textRotation="0" wrapText="false" indent="0" shrinkToFit="false"/>
      <protection locked="true" hidden="false"/>
    </xf>
    <xf numFmtId="173" fontId="9" fillId="3" borderId="2"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75" fontId="8" fillId="0" borderId="0" xfId="20" applyFont="true" applyBorder="true" applyAlignment="true" applyProtection="true">
      <alignment horizontal="right" vertical="center" textRotation="0" wrapText="false" indent="0" shrinkToFit="false"/>
      <protection locked="false" hidden="false"/>
    </xf>
    <xf numFmtId="164" fontId="12" fillId="10" borderId="29" xfId="0" applyFont="true" applyBorder="true" applyAlignment="true" applyProtection="true">
      <alignment horizontal="center" vertical="center" textRotation="0" wrapText="false" indent="0" shrinkToFit="false"/>
      <protection locked="true" hidden="false"/>
    </xf>
    <xf numFmtId="164" fontId="12" fillId="10" borderId="5" xfId="0" applyFont="true" applyBorder="true" applyAlignment="true" applyProtection="true">
      <alignment horizontal="center" vertical="center" textRotation="0" wrapText="false" indent="0" shrinkToFit="false"/>
      <protection locked="true" hidden="false"/>
    </xf>
    <xf numFmtId="164" fontId="14" fillId="0" borderId="38" xfId="0" applyFont="true" applyBorder="true" applyAlignment="true" applyProtection="true">
      <alignment horizontal="center" vertical="center" textRotation="0" wrapText="false" indent="0" shrinkToFit="false"/>
      <protection locked="true" hidden="false"/>
    </xf>
    <xf numFmtId="164" fontId="14" fillId="3" borderId="62" xfId="0" applyFont="true" applyBorder="true" applyAlignment="true" applyProtection="true">
      <alignment horizontal="center" vertical="center" textRotation="0" wrapText="false" indent="0" shrinkToFit="false"/>
      <protection locked="false" hidden="false"/>
    </xf>
    <xf numFmtId="164" fontId="14" fillId="7" borderId="39" xfId="0" applyFont="true" applyBorder="true" applyAlignment="true" applyProtection="true">
      <alignment horizontal="center" vertical="center" textRotation="0" wrapText="false" indent="0" shrinkToFit="false"/>
      <protection locked="true" hidden="false"/>
    </xf>
    <xf numFmtId="164" fontId="53" fillId="0" borderId="65" xfId="0" applyFont="true" applyBorder="true" applyAlignment="true" applyProtection="true">
      <alignment horizontal="center" vertical="center" textRotation="0" wrapText="false" indent="0" shrinkToFit="false"/>
      <protection locked="true" hidden="false"/>
    </xf>
    <xf numFmtId="164" fontId="14" fillId="7" borderId="40" xfId="0" applyFont="true" applyBorder="true" applyAlignment="true" applyProtection="true">
      <alignment horizontal="center" vertical="center" textRotation="0" wrapText="false" indent="0" shrinkToFit="false"/>
      <protection locked="true" hidden="false"/>
    </xf>
    <xf numFmtId="176" fontId="14" fillId="4" borderId="66" xfId="0" applyFont="true" applyBorder="true" applyAlignment="true" applyProtection="true">
      <alignment horizontal="center" vertical="center" textRotation="0" wrapText="false" indent="0" shrinkToFit="false"/>
      <protection locked="true" hidden="false"/>
    </xf>
    <xf numFmtId="164" fontId="14" fillId="7" borderId="41" xfId="0" applyFont="true" applyBorder="true" applyAlignment="true" applyProtection="true">
      <alignment horizontal="center" vertical="center" textRotation="0" wrapText="false" indent="0" shrinkToFit="false"/>
      <protection locked="true" hidden="false"/>
    </xf>
    <xf numFmtId="164" fontId="14" fillId="0" borderId="43" xfId="0" applyFont="true" applyBorder="true" applyAlignment="true" applyProtection="true">
      <alignment horizontal="center" vertical="center" textRotation="0" wrapText="false" indent="0" shrinkToFit="false"/>
      <protection locked="true" hidden="false"/>
    </xf>
    <xf numFmtId="177" fontId="14" fillId="3" borderId="63" xfId="0" applyFont="true" applyBorder="true" applyAlignment="true" applyProtection="true">
      <alignment horizontal="center" vertical="center" textRotation="0" wrapText="false" indent="0" shrinkToFit="false"/>
      <protection locked="false" hidden="false"/>
    </xf>
    <xf numFmtId="164" fontId="14" fillId="7" borderId="44" xfId="0" applyFont="true" applyBorder="true" applyAlignment="true" applyProtection="true">
      <alignment horizontal="center" vertical="center" textRotation="0" wrapText="false" indent="0" shrinkToFit="false"/>
      <protection locked="true" hidden="false"/>
    </xf>
    <xf numFmtId="164" fontId="14" fillId="7" borderId="43" xfId="0" applyFont="true" applyBorder="true" applyAlignment="true" applyProtection="true">
      <alignment horizontal="center" vertical="center" textRotation="0" wrapText="false" indent="0" shrinkToFit="false"/>
      <protection locked="true" hidden="false"/>
    </xf>
    <xf numFmtId="174" fontId="14" fillId="4" borderId="63" xfId="0" applyFont="true" applyBorder="true" applyAlignment="true" applyProtection="true">
      <alignment horizontal="center" vertical="center" textRotation="0" wrapText="false" indent="0" shrinkToFit="false"/>
      <protection locked="true" hidden="false"/>
    </xf>
    <xf numFmtId="164" fontId="54" fillId="0" borderId="0" xfId="0" applyFont="true" applyBorder="false" applyAlignment="true" applyProtection="true">
      <alignment horizontal="general" vertical="center" textRotation="0" wrapText="false" indent="0" shrinkToFit="false"/>
      <protection locked="true" hidden="false"/>
    </xf>
    <xf numFmtId="164" fontId="54" fillId="0" borderId="0" xfId="0" applyFont="true" applyBorder="false" applyAlignment="true" applyProtection="true">
      <alignment horizontal="general" vertical="center" textRotation="0" wrapText="false" indent="0" shrinkToFit="false"/>
      <protection locked="true" hidden="false"/>
    </xf>
    <xf numFmtId="164" fontId="14" fillId="3" borderId="38" xfId="0" applyFont="true" applyBorder="true" applyAlignment="true" applyProtection="true">
      <alignment horizontal="center" vertical="center" textRotation="0" wrapText="false" indent="0" shrinkToFit="false"/>
      <protection locked="false" hidden="false"/>
    </xf>
    <xf numFmtId="164" fontId="14" fillId="3" borderId="39" xfId="0" applyFont="true" applyBorder="true" applyAlignment="true" applyProtection="true">
      <alignment horizontal="center" vertical="center" textRotation="0" wrapText="false" indent="0" shrinkToFit="false"/>
      <protection locked="false" hidden="false"/>
    </xf>
    <xf numFmtId="164" fontId="53" fillId="0" borderId="9" xfId="0" applyFont="true" applyBorder="true" applyAlignment="true" applyProtection="true">
      <alignment horizontal="center" vertical="center" textRotation="0" wrapText="false" indent="0" shrinkToFit="false"/>
      <protection locked="true" hidden="false"/>
    </xf>
    <xf numFmtId="178" fontId="14" fillId="4" borderId="10" xfId="0" applyFont="true" applyBorder="true" applyAlignment="true" applyProtection="true">
      <alignment horizontal="center" vertical="center" textRotation="0" wrapText="false" indent="0" shrinkToFit="false"/>
      <protection locked="true" hidden="false"/>
    </xf>
    <xf numFmtId="164" fontId="14" fillId="3" borderId="31" xfId="0" applyFont="true" applyBorder="true" applyAlignment="true" applyProtection="true">
      <alignment horizontal="center" vertical="center" textRotation="0" wrapText="false" indent="0" shrinkToFit="false"/>
      <protection locked="false" hidden="false"/>
    </xf>
    <xf numFmtId="164" fontId="13" fillId="0" borderId="20"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false" indent="0" shrinkToFit="false"/>
      <protection locked="true" hidden="false"/>
    </xf>
    <xf numFmtId="178" fontId="14" fillId="3" borderId="10" xfId="0" applyFont="true" applyBorder="true" applyAlignment="true" applyProtection="true">
      <alignment horizontal="center" vertical="center" textRotation="0" wrapText="false" indent="0" shrinkToFit="false"/>
      <protection locked="false" hidden="false"/>
    </xf>
    <xf numFmtId="164" fontId="14" fillId="4" borderId="1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73" fontId="14" fillId="0" borderId="0" xfId="0" applyFont="true" applyBorder="true" applyAlignment="true" applyProtection="true">
      <alignment horizontal="center" vertical="center" textRotation="0" wrapText="false" indent="0" shrinkToFit="false"/>
      <protection locked="true" hidden="false"/>
    </xf>
    <xf numFmtId="164" fontId="56" fillId="0" borderId="0" xfId="0" applyFont="true" applyBorder="false" applyAlignment="true" applyProtection="true">
      <alignment horizontal="general" vertical="center" textRotation="0" wrapText="false" indent="0" shrinkToFit="false"/>
      <protection locked="true" hidden="false"/>
    </xf>
    <xf numFmtId="164" fontId="57" fillId="0" borderId="0" xfId="0" applyFont="true" applyBorder="false" applyAlignment="true" applyProtection="true">
      <alignment horizontal="general" vertical="center" textRotation="0" wrapText="false" indent="0" shrinkToFit="false"/>
      <protection locked="true" hidden="false"/>
    </xf>
    <xf numFmtId="172" fontId="14" fillId="0" borderId="0" xfId="0" applyFont="true" applyBorder="true" applyAlignment="true" applyProtection="true">
      <alignment horizontal="general" vertical="center" textRotation="0" wrapText="false" indent="0" shrinkToFit="false"/>
      <protection locked="true" hidden="false"/>
    </xf>
    <xf numFmtId="164" fontId="4" fillId="0" borderId="61" xfId="22"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58" fillId="0"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4" fontId="9" fillId="12"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58" fillId="0" borderId="67"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79" fontId="9"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77" fontId="9" fillId="12"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true">
      <alignment horizontal="left" vertical="center" textRotation="0" wrapText="false" indent="0" shrinkToFit="false"/>
      <protection locked="true" hidden="false"/>
    </xf>
    <xf numFmtId="164" fontId="9" fillId="12" borderId="2" xfId="0" applyFont="true" applyBorder="true" applyAlignment="true" applyProtection="true">
      <alignment horizontal="left" vertical="center" textRotation="0" wrapText="false" indent="0" shrinkToFit="false"/>
      <protection locked="true" hidden="false"/>
    </xf>
    <xf numFmtId="164" fontId="59" fillId="0" borderId="0" xfId="0" applyFont="true" applyBorder="false" applyAlignment="true" applyProtection="true">
      <alignment horizontal="center" vertical="center" textRotation="0" wrapText="false" indent="0" shrinkToFit="false"/>
      <protection locked="true" hidden="false"/>
    </xf>
    <xf numFmtId="164" fontId="9" fillId="2" borderId="0" xfId="0" applyFont="true" applyBorder="false" applyAlignment="true" applyProtection="true">
      <alignment horizontal="center" vertical="center" textRotation="0" wrapText="false" indent="0" shrinkToFit="false"/>
      <protection locked="true" hidden="false"/>
    </xf>
    <xf numFmtId="164" fontId="25" fillId="0" borderId="0" xfId="20" applyFont="true" applyBorder="true" applyAlignment="true" applyProtection="true">
      <alignment horizontal="center" vertical="center" textRotation="0" wrapText="false" indent="0" shrinkToFit="false"/>
      <protection locked="true" hidden="false"/>
    </xf>
    <xf numFmtId="164" fontId="12" fillId="0" borderId="5" xfId="0" applyFont="true" applyBorder="true" applyAlignment="true" applyProtection="true">
      <alignment horizontal="center" vertical="center" textRotation="0" wrapText="true" indent="0" shrinkToFit="false"/>
      <protection locked="true" hidden="false"/>
    </xf>
    <xf numFmtId="164" fontId="14" fillId="7" borderId="10" xfId="0" applyFont="true" applyBorder="true" applyAlignment="true" applyProtection="true">
      <alignment horizontal="center" vertical="center" textRotation="0" wrapText="false" indent="0" shrinkToFit="false"/>
      <protection locked="true" hidden="false"/>
    </xf>
    <xf numFmtId="180" fontId="14" fillId="4" borderId="11" xfId="0" applyFont="true" applyBorder="true" applyAlignment="true" applyProtection="true">
      <alignment horizontal="center" vertical="center" textRotation="0" wrapText="false" indent="0" shrinkToFit="false"/>
      <protection locked="true" hidden="false"/>
    </xf>
    <xf numFmtId="164" fontId="14" fillId="7" borderId="31" xfId="0" applyFont="true" applyBorder="true" applyAlignment="true" applyProtection="true">
      <alignment horizontal="center" vertical="center" textRotation="0" wrapText="false" indent="0" shrinkToFit="false"/>
      <protection locked="true" hidden="false"/>
    </xf>
    <xf numFmtId="164" fontId="13" fillId="0" borderId="68" xfId="0" applyFont="true" applyBorder="true" applyAlignment="true" applyProtection="true">
      <alignment horizontal="right" vertical="center" textRotation="0" wrapText="false" indent="0" shrinkToFit="false"/>
      <protection locked="true" hidden="false"/>
    </xf>
    <xf numFmtId="164" fontId="14" fillId="0" borderId="0"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13" fillId="0" borderId="5" xfId="0" applyFont="true" applyBorder="true" applyAlignment="true" applyProtection="true">
      <alignment horizontal="center" vertical="center" textRotation="0" wrapText="true" indent="0" shrinkToFit="false"/>
      <protection locked="true" hidden="false"/>
    </xf>
    <xf numFmtId="164" fontId="12" fillId="10" borderId="38" xfId="0" applyFont="true" applyBorder="true" applyAlignment="true" applyProtection="true">
      <alignment horizontal="center" vertical="center" textRotation="0" wrapText="false" indent="0" shrinkToFit="false"/>
      <protection locked="true" hidden="false"/>
    </xf>
    <xf numFmtId="164" fontId="12" fillId="10" borderId="62" xfId="0" applyFont="true" applyBorder="true" applyAlignment="true" applyProtection="true">
      <alignment horizontal="center" vertical="center" textRotation="0" wrapText="false" indent="0" shrinkToFit="false"/>
      <protection locked="true" hidden="false"/>
    </xf>
    <xf numFmtId="164" fontId="12" fillId="10" borderId="39" xfId="0" applyFont="true" applyBorder="true" applyAlignment="true" applyProtection="true">
      <alignment horizontal="center" vertical="center" textRotation="0" wrapText="false" indent="0" shrinkToFit="false"/>
      <protection locked="true" hidden="false"/>
    </xf>
    <xf numFmtId="164" fontId="9" fillId="3" borderId="42" xfId="0" applyFont="true" applyBorder="true" applyAlignment="true" applyProtection="true">
      <alignment horizontal="center" vertical="center" textRotation="0" wrapText="false" indent="0" shrinkToFit="false"/>
      <protection locked="false" hidden="false"/>
    </xf>
    <xf numFmtId="164" fontId="9" fillId="3" borderId="2" xfId="0" applyFont="true" applyBorder="true" applyAlignment="true" applyProtection="true">
      <alignment horizontal="center" vertical="center" textRotation="0" wrapText="false" indent="0" shrinkToFit="false"/>
      <protection locked="false" hidden="false"/>
    </xf>
    <xf numFmtId="164" fontId="9" fillId="0" borderId="26" xfId="0" applyFont="true" applyBorder="true" applyAlignment="true" applyProtection="true">
      <alignment horizontal="center" vertical="center" textRotation="0" wrapText="false" indent="0" shrinkToFit="false"/>
      <protection locked="true" hidden="false"/>
    </xf>
    <xf numFmtId="164" fontId="53" fillId="0" borderId="0" xfId="0" applyFont="true" applyBorder="true" applyAlignment="true" applyProtection="true">
      <alignment horizontal="center" vertical="center" textRotation="0" wrapText="false" indent="0" shrinkToFit="false"/>
      <protection locked="true" hidden="false"/>
    </xf>
    <xf numFmtId="173" fontId="14" fillId="4" borderId="32" xfId="0" applyFont="true" applyBorder="true" applyAlignment="true" applyProtection="true">
      <alignment horizontal="center" vertical="center" textRotation="0" wrapText="false" indent="0" shrinkToFit="false"/>
      <protection locked="true" hidden="false"/>
    </xf>
    <xf numFmtId="164" fontId="14" fillId="0" borderId="69" xfId="0" applyFont="true" applyBorder="true" applyAlignment="true" applyProtection="true">
      <alignment horizontal="center" vertical="center" textRotation="0" wrapText="false" indent="0" shrinkToFit="false"/>
      <protection locked="true" hidden="false"/>
    </xf>
    <xf numFmtId="173" fontId="14" fillId="4" borderId="69" xfId="0" applyFont="true" applyBorder="true" applyAlignment="true" applyProtection="true">
      <alignment horizontal="center" vertical="center" textRotation="0" wrapText="false" indent="0" shrinkToFit="false"/>
      <protection locked="true" hidden="false"/>
    </xf>
    <xf numFmtId="164" fontId="14" fillId="0" borderId="33" xfId="0" applyFont="true" applyBorder="true" applyAlignment="true" applyProtection="true">
      <alignment horizontal="center" vertical="center" textRotation="0" wrapText="false" indent="0" shrinkToFit="false"/>
      <protection locked="true" hidden="false"/>
    </xf>
    <xf numFmtId="164" fontId="9" fillId="5" borderId="43" xfId="0" applyFont="true" applyBorder="true" applyAlignment="true" applyProtection="true">
      <alignment horizontal="center" vertical="center" textRotation="0" wrapText="false" indent="0" shrinkToFit="false"/>
      <protection locked="true" hidden="false"/>
    </xf>
    <xf numFmtId="164" fontId="9" fillId="5" borderId="63" xfId="0" applyFont="true" applyBorder="true" applyAlignment="true" applyProtection="true">
      <alignment horizontal="center" vertical="center" textRotation="0" wrapText="false" indent="0" shrinkToFit="false"/>
      <protection locked="true" hidden="false"/>
    </xf>
    <xf numFmtId="164" fontId="9" fillId="4" borderId="63" xfId="0" applyFont="true" applyBorder="true" applyAlignment="true" applyProtection="true">
      <alignment horizontal="center" vertical="center" textRotation="0" wrapText="false" indent="0" shrinkToFit="false"/>
      <protection locked="true" hidden="false"/>
    </xf>
    <xf numFmtId="164" fontId="9" fillId="5" borderId="44" xfId="0" applyFont="true" applyBorder="true" applyAlignment="true" applyProtection="true">
      <alignment horizontal="center" vertical="center" textRotation="0" wrapText="false" indent="0" shrinkToFit="false"/>
      <protection locked="true" hidden="false"/>
    </xf>
    <xf numFmtId="164" fontId="9" fillId="0" borderId="70" xfId="0" applyFont="true" applyBorder="true" applyAlignment="true" applyProtection="true">
      <alignment horizontal="center" vertical="center" textRotation="0" wrapText="false" indent="0" shrinkToFit="false"/>
      <protection locked="true" hidden="false"/>
    </xf>
    <xf numFmtId="164" fontId="9" fillId="0" borderId="71" xfId="0" applyFont="true" applyBorder="true" applyAlignment="true" applyProtection="true">
      <alignment horizontal="center" vertical="center" textRotation="0" wrapText="false" indent="0" shrinkToFit="false"/>
      <protection locked="true" hidden="false"/>
    </xf>
    <xf numFmtId="164" fontId="9" fillId="0" borderId="72" xfId="0" applyFont="true" applyBorder="true" applyAlignment="true" applyProtection="true">
      <alignment horizontal="center" vertical="center" textRotation="0" wrapText="false" indent="0" shrinkToFit="false"/>
      <protection locked="true" hidden="false"/>
    </xf>
    <xf numFmtId="164" fontId="9" fillId="0" borderId="73" xfId="0" applyFont="true" applyBorder="true" applyAlignment="true" applyProtection="true">
      <alignment horizontal="center" vertical="center" textRotation="0" wrapText="false" indent="0" shrinkToFit="false"/>
      <protection locked="true" hidden="false"/>
    </xf>
    <xf numFmtId="164" fontId="60" fillId="0" borderId="0" xfId="0" applyFont="true" applyBorder="true" applyAlignment="true" applyProtection="true">
      <alignment horizontal="center" vertical="center" textRotation="0" wrapText="false" indent="0" shrinkToFit="false"/>
      <protection locked="true" hidden="false"/>
    </xf>
    <xf numFmtId="164" fontId="13" fillId="0" borderId="13" xfId="0" applyFont="true" applyBorder="true" applyAlignment="true" applyProtection="true">
      <alignment horizontal="center" vertical="center" textRotation="0" wrapText="true" indent="0" shrinkToFit="false"/>
      <protection locked="true" hidden="false"/>
    </xf>
    <xf numFmtId="164" fontId="12" fillId="10" borderId="74" xfId="0" applyFont="true" applyBorder="true" applyAlignment="true" applyProtection="true">
      <alignment horizontal="center" vertical="center" textRotation="0" wrapText="false" indent="0" shrinkToFit="false"/>
      <protection locked="true" hidden="false"/>
    </xf>
    <xf numFmtId="164" fontId="12" fillId="10" borderId="13" xfId="0" applyFont="true" applyBorder="true" applyAlignment="true" applyProtection="true">
      <alignment horizontal="center" vertical="center" textRotation="0" wrapText="false" indent="0" shrinkToFit="false"/>
      <protection locked="true" hidden="false"/>
    </xf>
    <xf numFmtId="173" fontId="14" fillId="3" borderId="43" xfId="0" applyFont="true" applyBorder="true" applyAlignment="true" applyProtection="true">
      <alignment horizontal="center" vertical="center" textRotation="0" wrapText="false" indent="0" shrinkToFit="false"/>
      <protection locked="false" hidden="false"/>
    </xf>
    <xf numFmtId="181" fontId="14" fillId="4" borderId="43" xfId="0" applyFont="true" applyBorder="true" applyAlignment="true" applyProtection="true">
      <alignment horizontal="center" vertical="center" textRotation="0" wrapText="false" indent="0" shrinkToFit="false"/>
      <protection locked="true" hidden="false"/>
    </xf>
    <xf numFmtId="164" fontId="14" fillId="0" borderId="63" xfId="0" applyFont="true" applyBorder="true" applyAlignment="true" applyProtection="true">
      <alignment horizontal="center" vertical="center" textRotation="0" wrapText="false" indent="0" shrinkToFit="false"/>
      <protection locked="true" hidden="false"/>
    </xf>
    <xf numFmtId="181" fontId="14" fillId="4" borderId="63"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general" vertical="center" textRotation="0" wrapText="true" indent="0" shrinkToFit="false"/>
      <protection locked="true" hidden="false"/>
    </xf>
    <xf numFmtId="164" fontId="53" fillId="0" borderId="0" xfId="0" applyFont="true" applyBorder="true" applyAlignment="true" applyProtection="true">
      <alignment horizontal="general" vertical="center" textRotation="0" wrapText="false" indent="0" shrinkToFit="false"/>
      <protection locked="true" hidden="false"/>
    </xf>
    <xf numFmtId="181" fontId="14" fillId="0" borderId="0" xfId="0" applyFont="true" applyBorder="true" applyAlignment="true" applyProtection="true">
      <alignment horizontal="general" vertical="center" textRotation="0" wrapText="false" indent="0" shrinkToFit="false"/>
      <protection locked="true" hidden="false"/>
    </xf>
    <xf numFmtId="164" fontId="43" fillId="0" borderId="61" xfId="22"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4" fontId="11" fillId="0" borderId="0" xfId="20" applyFont="true" applyBorder="true" applyAlignment="true" applyProtection="true">
      <alignment horizontal="center" vertical="center" textRotation="0" wrapText="false" indent="0" shrinkToFit="false"/>
      <protection locked="true" hidden="false"/>
    </xf>
    <xf numFmtId="164" fontId="61" fillId="0" borderId="0" xfId="20" applyFont="true" applyBorder="true" applyAlignment="true" applyProtection="true">
      <alignment horizontal="right" vertical="center" textRotation="0" wrapText="false" indent="0" shrinkToFit="false"/>
      <protection locked="true" hidden="false"/>
    </xf>
    <xf numFmtId="164" fontId="12" fillId="10" borderId="5" xfId="0" applyFont="true" applyBorder="true" applyAlignment="true" applyProtection="true">
      <alignment horizontal="center" vertical="center" textRotation="0" wrapText="false" indent="0" shrinkToFit="false"/>
      <protection locked="true" hidden="false"/>
    </xf>
    <xf numFmtId="164" fontId="14" fillId="7" borderId="36" xfId="0" applyFont="true" applyBorder="true" applyAlignment="true" applyProtection="false">
      <alignment horizontal="center" vertical="center" textRotation="0" wrapText="false" indent="0" shrinkToFit="false"/>
      <protection locked="true" hidden="false"/>
    </xf>
    <xf numFmtId="164" fontId="14" fillId="3" borderId="37" xfId="0" applyFont="true" applyBorder="true" applyAlignment="true" applyProtection="true">
      <alignment horizontal="center" vertical="center" textRotation="0" wrapText="false" indent="0" shrinkToFit="false"/>
      <protection locked="false" hidden="false"/>
    </xf>
    <xf numFmtId="164" fontId="13" fillId="7" borderId="36" xfId="0" applyFont="true" applyBorder="true" applyAlignment="true" applyProtection="false">
      <alignment horizontal="center" vertical="center" textRotation="0" wrapText="false" indent="0" shrinkToFit="false"/>
      <protection locked="true" hidden="false"/>
    </xf>
    <xf numFmtId="164" fontId="14" fillId="4" borderId="37" xfId="0" applyFont="true" applyBorder="true" applyAlignment="true" applyProtection="false">
      <alignment horizontal="center" vertical="center" textRotation="0" wrapText="false" indent="0" shrinkToFit="false"/>
      <protection locked="true" hidden="false"/>
    </xf>
    <xf numFmtId="164" fontId="14" fillId="7" borderId="43" xfId="0" applyFont="true" applyBorder="true" applyAlignment="true" applyProtection="false">
      <alignment horizontal="center" vertical="center" textRotation="0" wrapText="false" indent="0" shrinkToFit="false"/>
      <protection locked="true" hidden="false"/>
    </xf>
    <xf numFmtId="164" fontId="14" fillId="3" borderId="44" xfId="0" applyFont="true" applyBorder="true" applyAlignment="true" applyProtection="true">
      <alignment horizontal="center" vertical="center" textRotation="0" wrapText="false" indent="0" shrinkToFit="false"/>
      <protection locked="false" hidden="false"/>
    </xf>
    <xf numFmtId="164" fontId="13" fillId="7" borderId="43" xfId="0" applyFont="true" applyBorder="true" applyAlignment="true" applyProtection="false">
      <alignment horizontal="center" vertical="center" textRotation="0" wrapText="false" indent="0" shrinkToFit="false"/>
      <protection locked="true" hidden="false"/>
    </xf>
    <xf numFmtId="164" fontId="14" fillId="4" borderId="44" xfId="0" applyFont="true" applyBorder="true" applyAlignment="true" applyProtection="false">
      <alignment horizontal="center" vertical="center" textRotation="0" wrapText="false" indent="0" shrinkToFit="false"/>
      <protection locked="true" hidden="false"/>
    </xf>
    <xf numFmtId="164" fontId="12" fillId="10" borderId="3" xfId="0" applyFont="true" applyBorder="true" applyAlignment="true" applyProtection="true">
      <alignment horizontal="center" vertical="center" textRotation="0" wrapText="false" indent="0" shrinkToFit="false"/>
      <protection locked="true" hidden="false"/>
    </xf>
    <xf numFmtId="164" fontId="12" fillId="10" borderId="46" xfId="0" applyFont="true" applyBorder="true" applyAlignment="true" applyProtection="true">
      <alignment horizontal="center" vertical="center" textRotation="0" wrapText="false" indent="0" shrinkToFit="false"/>
      <protection locked="true" hidden="false"/>
    </xf>
    <xf numFmtId="164" fontId="12" fillId="0" borderId="75" xfId="0" applyFont="true" applyBorder="true" applyAlignment="true" applyProtection="true">
      <alignment horizontal="center" vertical="center" textRotation="0" wrapText="false" indent="0" shrinkToFit="false"/>
      <protection locked="true" hidden="false"/>
    </xf>
    <xf numFmtId="164" fontId="14" fillId="0" borderId="76" xfId="0" applyFont="true" applyBorder="true" applyAlignment="true" applyProtection="true">
      <alignment horizontal="center" vertical="center" textRotation="0" wrapText="false" indent="0" shrinkToFit="false"/>
      <protection locked="true" hidden="false"/>
    </xf>
    <xf numFmtId="182" fontId="4" fillId="0" borderId="77" xfId="21" applyFont="true" applyBorder="true" applyAlignment="true" applyProtection="false">
      <alignment horizontal="center" vertical="center" textRotation="0" wrapText="false" indent="0" shrinkToFit="false"/>
      <protection locked="true" hidden="false"/>
    </xf>
    <xf numFmtId="164" fontId="7" fillId="0" borderId="0" xfId="20" applyFont="true" applyBorder="true" applyAlignment="true" applyProtection="true">
      <alignment horizontal="right" vertical="center" textRotation="0" wrapText="false" indent="0" shrinkToFit="false"/>
      <protection locked="true" hidden="false"/>
    </xf>
    <xf numFmtId="164" fontId="12" fillId="0" borderId="78" xfId="0" applyFont="true" applyBorder="true" applyAlignment="true" applyProtection="true">
      <alignment horizontal="center" vertical="center" textRotation="0" wrapText="false" indent="0" shrinkToFit="false"/>
      <protection locked="true" hidden="false"/>
    </xf>
    <xf numFmtId="164" fontId="14" fillId="0" borderId="74" xfId="0" applyFont="true" applyBorder="true" applyAlignment="true" applyProtection="true">
      <alignment horizontal="center" vertical="center" textRotation="0" wrapText="false" indent="0" shrinkToFit="false"/>
      <protection locked="true" hidden="false"/>
    </xf>
    <xf numFmtId="182" fontId="4" fillId="0" borderId="79" xfId="21" applyFont="true" applyBorder="true" applyAlignment="true" applyProtection="false">
      <alignment horizontal="center" vertical="center" textRotation="0" wrapText="false" indent="0" shrinkToFit="false"/>
      <protection locked="true" hidden="false"/>
    </xf>
    <xf numFmtId="164" fontId="20" fillId="4" borderId="26" xfId="0" applyFont="true" applyBorder="true" applyAlignment="true" applyProtection="true">
      <alignment horizontal="center" vertical="center" textRotation="0" wrapText="false" indent="0" shrinkToFit="false"/>
      <protection locked="true" hidden="false"/>
    </xf>
    <xf numFmtId="182" fontId="4" fillId="0" borderId="26" xfId="21" applyFont="true" applyBorder="true" applyAlignment="true" applyProtection="false">
      <alignment horizontal="center" vertical="center" textRotation="0" wrapText="false" indent="0" shrinkToFit="false"/>
      <protection locked="true" hidden="false"/>
    </xf>
    <xf numFmtId="164" fontId="12" fillId="0" borderId="21" xfId="0" applyFont="true" applyBorder="true" applyAlignment="true" applyProtection="true">
      <alignment horizontal="center" vertical="center" textRotation="0" wrapText="false" indent="0" shrinkToFit="false"/>
      <protection locked="true" hidden="false"/>
    </xf>
    <xf numFmtId="164" fontId="14" fillId="0" borderId="20" xfId="0" applyFont="true" applyBorder="true" applyAlignment="true" applyProtection="true">
      <alignment horizontal="center" vertical="center" textRotation="0" wrapText="false" indent="0" shrinkToFit="false"/>
      <protection locked="true" hidden="false"/>
    </xf>
    <xf numFmtId="182" fontId="4" fillId="0" borderId="80" xfId="21" applyFont="true" applyBorder="true" applyAlignment="true" applyProtection="false">
      <alignment horizontal="center" vertical="center" textRotation="0" wrapText="false" indent="0" shrinkToFit="false"/>
      <protection locked="true" hidden="false"/>
    </xf>
    <xf numFmtId="182" fontId="4" fillId="0" borderId="44" xfId="21" applyFont="true" applyBorder="true" applyAlignment="true" applyProtection="false">
      <alignment horizontal="center" vertical="center" textRotation="0" wrapText="false" indent="0" shrinkToFit="false"/>
      <protection locked="true" hidden="false"/>
    </xf>
    <xf numFmtId="164" fontId="57"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0" xfId="20" applyFont="true" applyBorder="true" applyAlignment="true" applyProtection="true">
      <alignment horizontal="center" vertical="bottom" textRotation="0" wrapText="false" indent="0" shrinkToFit="false"/>
      <protection locked="false" hidden="false"/>
    </xf>
    <xf numFmtId="164" fontId="9" fillId="2" borderId="0"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fals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7" fillId="9" borderId="0" xfId="0" applyFont="true" applyBorder="false" applyAlignment="true" applyProtection="true">
      <alignment horizontal="center" vertical="bottom" textRotation="0" wrapText="false" indent="0" shrinkToFit="false"/>
      <protection locked="true" hidden="false"/>
    </xf>
    <xf numFmtId="164" fontId="17" fillId="9" borderId="0" xfId="0" applyFont="true" applyBorder="true" applyAlignment="true" applyProtection="true">
      <alignment horizontal="left" vertical="bottom" textRotation="0" wrapText="false" indent="0" shrinkToFit="false"/>
      <protection locked="true" hidden="false"/>
    </xf>
    <xf numFmtId="164" fontId="14" fillId="0" borderId="0" xfId="0" applyFont="true" applyBorder="true" applyAlignment="true" applyProtection="true">
      <alignment horizontal="left"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true" indent="0" shrinkToFit="false"/>
      <protection locked="true" hidden="false"/>
    </xf>
    <xf numFmtId="164" fontId="9"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2" borderId="0" xfId="0" applyFont="false" applyBorder="true" applyAlignment="true" applyProtection="true">
      <alignment horizontal="center" vertical="bottom" textRotation="0" wrapText="false" indent="0" shrinkToFit="false"/>
      <protection locked="true" hidden="false"/>
    </xf>
    <xf numFmtId="164" fontId="61" fillId="0" borderId="0" xfId="20" applyFont="true" applyBorder="true" applyAlignment="true" applyProtection="true">
      <alignment horizontal="left" vertical="bottom" textRotation="0" wrapText="false" indent="0" shrinkToFit="false"/>
      <protection locked="false" hidden="false"/>
    </xf>
    <xf numFmtId="164" fontId="14" fillId="0" borderId="0" xfId="0" applyFont="true" applyBorder="false" applyAlignment="fals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left" vertical="bottom" textRotation="0" wrapText="fals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4" fontId="31" fillId="0" borderId="0" xfId="20" applyFont="true" applyBorder="true" applyAlignment="true" applyProtection="true">
      <alignment horizontal="left" vertical="bottom" textRotation="0" wrapText="false" indent="0" shrinkToFit="false"/>
      <protection locked="false" hidden="false"/>
    </xf>
    <xf numFmtId="164" fontId="31" fillId="0" borderId="0" xfId="20" applyFont="true" applyBorder="true" applyAlignment="true" applyProtection="true">
      <alignment horizontal="general" vertical="bottom" textRotation="0" wrapText="false" indent="0" shrinkToFit="false"/>
      <protection locked="true" hidden="false"/>
    </xf>
    <xf numFmtId="164" fontId="8" fillId="0" borderId="0" xfId="20" applyFont="true" applyBorder="true" applyAlignment="true" applyProtection="true">
      <alignment horizontal="left" vertical="bottom" textRotation="0" wrapText="false" indent="0" shrinkToFit="false"/>
      <protection locked="false" hidden="false"/>
    </xf>
    <xf numFmtId="164" fontId="12" fillId="0" borderId="0" xfId="0" applyFont="true" applyBorder="tru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_ADS1262 Data Sheet Tables" xfId="21"/>
    <cellStyle name="*unknown*" xfId="20" builtinId="8"/>
    <cellStyle name="Excel Built-in Explanatory Text" xfId="22"/>
  </cellStyles>
  <dxfs count="4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00FFFFFF"/>
      </font>
      <fill>
        <patternFill>
          <bgColor rgb="FF00B050"/>
        </patternFill>
      </fill>
    </dxf>
    <dxf>
      <font>
        <color rgb="00FFFFFF"/>
      </font>
      <fill>
        <patternFill>
          <bgColor rgb="FF00B050"/>
        </patternFill>
      </fill>
    </dxf>
    <dxf>
      <font>
        <color rgb="00FFFFFF"/>
      </font>
      <fill>
        <patternFill>
          <bgColor rgb="FF00B050"/>
        </patternFill>
      </fill>
    </dxf>
    <dxf>
      <fill>
        <patternFill>
          <bgColor rgb="FFFFC000"/>
        </patternFill>
      </fill>
    </dxf>
    <dxf>
      <font>
        <color rgb="00FFFFFF"/>
      </font>
      <fill>
        <patternFill>
          <bgColor rgb="FF00B050"/>
        </patternFill>
      </fill>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00FFFFFF"/>
      </font>
      <fill>
        <patternFill>
          <bgColor rgb="FFFF0000"/>
        </patternFill>
      </fill>
      <border diagonalUp="false" diagonalDown="false">
        <left style="thin"/>
        <right style="thin"/>
        <top style="thin"/>
        <bottom style="thin"/>
        <diagonal/>
      </border>
    </dxf>
    <dxf>
      <font>
        <color rgb="FFDE0000"/>
      </font>
      <fill>
        <patternFill>
          <bgColor theme="5" tint="0.3999"/>
        </patternFill>
      </fill>
    </dxf>
    <dxf>
      <font>
        <color rgb="00FFFFFF"/>
      </font>
      <fill>
        <patternFill>
          <bgColor rgb="FF00B050"/>
        </patternFill>
      </fill>
    </dxf>
    <dxf>
      <fill>
        <patternFill>
          <bgColor rgb="FFFFC000"/>
        </patternFill>
      </fill>
    </dxf>
    <dxf>
      <fill>
        <patternFill>
          <bgColor rgb="FFFFC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7F7F"/>
      <rgbColor rgb="FF800080"/>
      <rgbColor rgb="FF008080"/>
      <rgbColor rgb="FFBFBFBF"/>
      <rgbColor rgb="FF808080"/>
      <rgbColor rgb="FFA6A6A6"/>
      <rgbColor rgb="FF993366"/>
      <rgbColor rgb="FFFFFFCC"/>
      <rgbColor rgb="FFF2F2F2"/>
      <rgbColor rgb="FF660066"/>
      <rgbColor rgb="FFD99694"/>
      <rgbColor rgb="FF0066CC"/>
      <rgbColor rgb="FFD9D9D9"/>
      <rgbColor rgb="FF000080"/>
      <rgbColor rgb="FFFF00FF"/>
      <rgbColor rgb="FFFFFF00"/>
      <rgbColor rgb="FF00FFFF"/>
      <rgbColor rgb="FF800080"/>
      <rgbColor rgb="FFDE0000"/>
      <rgbColor rgb="FF008080"/>
      <rgbColor rgb="FF0000FF"/>
      <rgbColor rgb="FF00CCFF"/>
      <rgbColor rgb="FFCCFFFF"/>
      <rgbColor rgb="FFCCFFCC"/>
      <rgbColor rgb="FFF2DCDB"/>
      <rgbColor rgb="FFC7D6B1"/>
      <rgbColor rgb="FFAAAAAA"/>
      <rgbColor rgb="FFBDB4CB"/>
      <rgbColor rgb="FFFFC7CE"/>
      <rgbColor rgb="FF3399FF"/>
      <rgbColor rgb="FF4BACC6"/>
      <rgbColor rgb="FF99CC00"/>
      <rgbColor rgb="FFFFC000"/>
      <rgbColor rgb="FFF79646"/>
      <rgbColor rgb="FFFF6600"/>
      <rgbColor rgb="FF8064A2"/>
      <rgbColor rgb="FF878787"/>
      <rgbColor rgb="FF003366"/>
      <rgbColor rgb="FF00B050"/>
      <rgbColor rgb="FF003300"/>
      <rgbColor rgb="FF333300"/>
      <rgbColor rgb="FF993300"/>
      <rgbColor rgb="FF993366"/>
      <rgbColor rgb="FF1F497D"/>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externalLink" Target="externalLinks/externalLink1.xml"/><Relationship Id="rId13" Type="http://schemas.openxmlformats.org/officeDocument/2006/relationships/externalLink" Target="externalLinks/externalLink2.xml"/><Relationship Id="rId14" Type="http://schemas.openxmlformats.org/officeDocument/2006/relationships/externalLink" Target="externalLinks/externalLink3.xml"/><Relationship Id="rId1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layout>
        <c:manualLayout>
          <c:layoutTarget val="inner"/>
          <c:xMode val="edge"/>
          <c:yMode val="edge"/>
          <c:x val="0.088560693038305"/>
          <c:y val="0.0485090009619349"/>
          <c:w val="0.907577497129736"/>
          <c:h val="0.916311666895699"/>
        </c:manualLayout>
      </c:layout>
      <c:scatterChart>
        <c:scatterStyle val="line"/>
        <c:varyColors val="0"/>
        <c:ser>
          <c:idx val="0"/>
          <c:order val="0"/>
          <c:tx>
            <c:strRef>
              <c:f>"VINP"</c:f>
              <c:strCache>
                <c:ptCount val="1"/>
                <c:pt idx="0">
                  <c:v>VINP</c:v>
                </c:pt>
              </c:strCache>
            </c:strRef>
          </c:tx>
          <c:spPr>
            <a:solidFill>
              <a:srgbClr val="1F497D"/>
            </a:solidFill>
            <a:ln w="12600">
              <a:solidFill>
                <a:schemeClr val="dk2"/>
              </a:solidFill>
              <a:round/>
            </a:ln>
          </c:spPr>
          <c:marker>
            <c:symbol val="none"/>
          </c:marker>
          <c:dPt>
            <c:idx val="0"/>
            <c:marker>
              <c:symbol val="none"/>
            </c:marker>
          </c:dPt>
          <c:dPt>
            <c:idx val="1"/>
            <c:marker>
              <c:symbol val="none"/>
            </c:marker>
          </c:dPt>
          <c:dLbls>
            <c:dLbl>
              <c:idx val="0"/>
              <c:layout>
                <c:manualLayout>
                  <c:x val="-0.0194164445397633"/>
                  <c:y val="-0.0375116652085156"/>
                </c:manualLayout>
              </c:layout>
              <c:tx>
                <c:rich>
                  <a:bodyPr/>
                  <a:p>
                    <a:r>
                      <a:rPr lang="en-US" sz="1000" b="1" u="none" strike="noStrike">
                        <a:solidFill>
                          <a:schemeClr val="tx2"/>
                        </a:solidFill>
                        <a:uFillTx/>
                        <a:latin typeface="Arial"/>
                      </a:rPr>
                      <a:t>V</a:t>
                    </a:r>
                    <a:r>
                      <a:rPr lang="en-US" sz="1000" b="1" u="none" strike="noStrike" baseline="-25000">
                        <a:solidFill>
                          <a:schemeClr val="tx2"/>
                        </a:solidFill>
                        <a:uFillTx/>
                        <a:latin typeface="Arial"/>
                      </a:rPr>
                      <a:t>AINP</a:t>
                    </a:r>
                  </a:p>
                </c:rich>
              </c:tx>
              <c:txPr>
                <a:bodyPr wrap="square"/>
                <a:lstStyle/>
                <a:p>
                  <a:pPr>
                    <a:defRPr sz="1000" b="0" u="none" strike="noStrike">
                      <a:solidFill>
                        <a:srgbClr val="000000"/>
                      </a:solidFill>
                      <a:uFillTx/>
                      <a:latin typeface="Arial"/>
                    </a:defRPr>
                  </a:pPr>
                </a:p>
              </c:txPr>
              <c:dLblPos val="r"/>
              <c:showLegendKey val="0"/>
              <c:showVal val="0"/>
              <c:showCatName val="0"/>
              <c:showSerName val="1"/>
              <c:showPercent val="0"/>
              <c:separator>; </c:separator>
            </c:dLbl>
            <c:dLbl>
              <c:idx val="1"/>
              <c:txPr>
                <a:bodyPr wrap="square"/>
                <a:lstStyle/>
                <a:p>
                  <a:pPr>
                    <a:defRPr sz="1000" b="0" u="none" strike="noStrike">
                      <a:solidFill>
                        <a:srgbClr val="000000"/>
                      </a:solidFill>
                      <a:uFillTx/>
                      <a:latin typeface="Arial"/>
                    </a:defRPr>
                  </a:pPr>
                </a:p>
              </c:txPr>
              <c:dLblPos val="t"/>
              <c:showLegendKey val="0"/>
              <c:showVal val="0"/>
              <c:showCatName val="0"/>
              <c:showSerName val="0"/>
              <c:showPercent val="0"/>
              <c:separator>; </c:separator>
            </c:dLbl>
            <c:txPr>
              <a:bodyPr wrap="square"/>
              <a:lstStyle/>
              <a:p>
                <a:pPr>
                  <a:defRPr sz="1000" b="0" u="none" strike="noStrike">
                    <a:solidFill>
                      <a:srgbClr val="000000"/>
                    </a:solidFill>
                    <a:uFillTx/>
                    <a:latin typeface="Arial"/>
                  </a:defRPr>
                </a:pPr>
              </a:p>
            </c:txPr>
            <c:dLblPos val="t"/>
            <c:showLegendKey val="0"/>
            <c:showVal val="0"/>
            <c:showCatName val="0"/>
            <c:showSerName val="1"/>
            <c:showPercent val="0"/>
            <c:separator>; </c:separator>
            <c:showLeaderLines val="0"/>
            <c:extLst>
              <c:ext xmlns:c15="http://schemas.microsoft.com/office/drawing/2012/chart" uri="{CE6537A1-D6FC-4f65-9D91-7224C49458BB}">
                <c15:showLeaderLines val="0"/>
              </c:ext>
            </c:extLst>
          </c:dLbls>
          <c:xVal>
            <c:numRef>
              <c:f>'PGA Common-Mode Range'!$O$47:$O$48</c:f>
              <c:numCache>
                <c:formatCode>General</c:formatCode>
                <c:ptCount val="2"/>
                <c:pt idx="0">
                  <c:v>0.4</c:v>
                </c:pt>
                <c:pt idx="1">
                  <c:v>0.6</c:v>
                </c:pt>
              </c:numCache>
            </c:numRef>
          </c:xVal>
          <c:yVal>
            <c:numRef>
              <c:f>'PGA Common-Mode Range'!$P$47:$P$48</c:f>
              <c:numCache>
                <c:formatCode>General</c:formatCode>
                <c:ptCount val="2"/>
                <c:pt idx="0">
                  <c:v>1.1265</c:v>
                </c:pt>
                <c:pt idx="1">
                  <c:v>1.1265</c:v>
                </c:pt>
              </c:numCache>
            </c:numRef>
          </c:yVal>
          <c:smooth val="0"/>
        </c:ser>
        <c:ser>
          <c:idx val="1"/>
          <c:order val="1"/>
          <c:tx>
            <c:strRef>
              <c:f>"VINN"</c:f>
              <c:strCache>
                <c:ptCount val="1"/>
                <c:pt idx="0">
                  <c:v>VINN</c:v>
                </c:pt>
              </c:strCache>
            </c:strRef>
          </c:tx>
          <c:spPr>
            <a:solidFill>
              <a:srgbClr val="4BACC6"/>
            </a:solidFill>
            <a:ln w="12600">
              <a:solidFill>
                <a:schemeClr val="accent5"/>
              </a:solidFill>
              <a:round/>
            </a:ln>
          </c:spPr>
          <c:marker>
            <c:symbol val="none"/>
          </c:marker>
          <c:dPt>
            <c:idx val="0"/>
            <c:marker>
              <c:symbol val="none"/>
            </c:marker>
          </c:dPt>
          <c:dPt>
            <c:idx val="1"/>
            <c:marker>
              <c:symbol val="none"/>
            </c:marker>
          </c:dPt>
          <c:dLbls>
            <c:dLbl>
              <c:idx val="0"/>
              <c:layout>
                <c:manualLayout>
                  <c:x val="-0.0123218644362062"/>
                  <c:y val="0.0375116652085156"/>
                </c:manualLayout>
              </c:layout>
              <c:tx>
                <c:rich>
                  <a:bodyPr/>
                  <a:p>
                    <a:r>
                      <a:rPr lang="en-US" sz="1000" b="1" u="none" strike="noStrike">
                        <a:solidFill>
                          <a:schemeClr val="accent5"/>
                        </a:solidFill>
                        <a:uFillTx/>
                        <a:latin typeface="Arial"/>
                      </a:rPr>
                      <a:t>V</a:t>
                    </a:r>
                    <a:r>
                      <a:rPr lang="en-US" sz="1000" b="1" u="none" strike="noStrike" baseline="-25000">
                        <a:solidFill>
                          <a:schemeClr val="accent5"/>
                        </a:solidFill>
                        <a:uFillTx/>
                        <a:latin typeface="Arial"/>
                      </a:rPr>
                      <a:t>AINN</a:t>
                    </a:r>
                  </a:p>
                </c:rich>
              </c:tx>
              <c:txPr>
                <a:bodyPr wrap="square"/>
                <a:lstStyle/>
                <a:p>
                  <a:pPr>
                    <a:defRPr sz="1000" b="0" u="none" strike="noStrike">
                      <a:solidFill>
                        <a:schemeClr val="accent5"/>
                      </a:solidFill>
                      <a:uFillTx/>
                      <a:latin typeface="Arial"/>
                    </a:defRPr>
                  </a:pPr>
                </a:p>
              </c:txPr>
              <c:dLblPos val="r"/>
              <c:showLegendKey val="0"/>
              <c:showVal val="0"/>
              <c:showCatName val="0"/>
              <c:showSerName val="1"/>
              <c:showPercent val="0"/>
              <c:separator>; </c:separator>
            </c:dLbl>
            <c:dLbl>
              <c:idx val="1"/>
              <c:txPr>
                <a:bodyPr wrap="square"/>
                <a:lstStyle/>
                <a:p>
                  <a:pPr>
                    <a:defRPr sz="1000" b="0" u="none" strike="noStrike">
                      <a:solidFill>
                        <a:schemeClr val="accent5"/>
                      </a:solidFill>
                      <a:uFillTx/>
                      <a:latin typeface="Arial"/>
                    </a:defRPr>
                  </a:pPr>
                </a:p>
              </c:txPr>
              <c:dLblPos val="b"/>
              <c:showLegendKey val="0"/>
              <c:showVal val="0"/>
              <c:showCatName val="0"/>
              <c:showSerName val="0"/>
              <c:showPercent val="0"/>
              <c:separator>; </c:separator>
            </c:dLbl>
            <c:txPr>
              <a:bodyPr wrap="square"/>
              <a:lstStyle/>
              <a:p>
                <a:pPr>
                  <a:defRPr sz="1000" b="0" u="none" strike="noStrike">
                    <a:solidFill>
                      <a:schemeClr val="accent5"/>
                    </a:solidFill>
                    <a:uFillTx/>
                    <a:latin typeface="Arial"/>
                  </a:defRPr>
                </a:pPr>
              </a:p>
            </c:txPr>
            <c:dLblPos val="b"/>
            <c:showLegendKey val="0"/>
            <c:showVal val="0"/>
            <c:showCatName val="0"/>
            <c:showSerName val="1"/>
            <c:showPercent val="0"/>
            <c:separator>; </c:separator>
            <c:showLeaderLines val="0"/>
            <c:extLst>
              <c:ext xmlns:c15="http://schemas.microsoft.com/office/drawing/2012/chart" uri="{CE6537A1-D6FC-4f65-9D91-7224C49458BB}">
                <c15:showLeaderLines val="0"/>
              </c:ext>
            </c:extLst>
          </c:dLbls>
          <c:xVal>
            <c:numRef>
              <c:f>'PGA Common-Mode Range'!$O$49:$O$50</c:f>
              <c:numCache>
                <c:formatCode>General</c:formatCode>
                <c:ptCount val="2"/>
                <c:pt idx="0">
                  <c:v>0.4</c:v>
                </c:pt>
                <c:pt idx="1">
                  <c:v>0.6</c:v>
                </c:pt>
              </c:numCache>
            </c:numRef>
          </c:xVal>
          <c:yVal>
            <c:numRef>
              <c:f>'PGA Common-Mode Range'!$P$49:$P$50</c:f>
              <c:numCache>
                <c:formatCode>General</c:formatCode>
                <c:ptCount val="2"/>
                <c:pt idx="0">
                  <c:v>1.125</c:v>
                </c:pt>
                <c:pt idx="1">
                  <c:v>1.125</c:v>
                </c:pt>
              </c:numCache>
            </c:numRef>
          </c:yVal>
          <c:smooth val="0"/>
        </c:ser>
        <c:ser>
          <c:idx val="2"/>
          <c:order val="2"/>
          <c:tx>
            <c:strRef>
              <c:f>"Diff. Voltage"</c:f>
              <c:strCache>
                <c:ptCount val="1"/>
                <c:pt idx="0">
                  <c:v>Diff. Voltage</c:v>
                </c:pt>
              </c:strCache>
            </c:strRef>
          </c:tx>
          <c:spPr>
            <a:solidFill>
              <a:srgbClr val="3399FF"/>
            </a:solidFill>
            <a:ln w="12600">
              <a:solidFill>
                <a:srgbClr val="3399FF"/>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xVal>
            <c:numRef>
              <c:f>'PGA Common-Mode Range'!$O$51:$O$52</c:f>
              <c:numCache>
                <c:formatCode>General</c:formatCode>
                <c:ptCount val="2"/>
                <c:pt idx="0">
                  <c:v>0.5</c:v>
                </c:pt>
                <c:pt idx="1">
                  <c:v>0.5</c:v>
                </c:pt>
              </c:numCache>
            </c:numRef>
          </c:xVal>
          <c:yVal>
            <c:numRef>
              <c:f>'PGA Common-Mode Range'!$P$51:$P$52</c:f>
              <c:numCache>
                <c:formatCode>General</c:formatCode>
                <c:ptCount val="2"/>
                <c:pt idx="0">
                  <c:v>1.1265</c:v>
                </c:pt>
                <c:pt idx="1">
                  <c:v>1.125</c:v>
                </c:pt>
              </c:numCache>
            </c:numRef>
          </c:yVal>
          <c:smooth val="0"/>
        </c:ser>
        <c:ser>
          <c:idx val="3"/>
          <c:order val="3"/>
          <c:tx>
            <c:strRef>
              <c:f>"AVSS"</c:f>
              <c:strCache>
                <c:ptCount val="1"/>
                <c:pt idx="0">
                  <c:v>AVSS</c:v>
                </c:pt>
              </c:strCache>
            </c:strRef>
          </c:tx>
          <c:spPr>
            <a:solidFill>
              <a:srgbClr val="000000"/>
            </a:solidFill>
            <a:ln w="12600">
              <a:solidFill>
                <a:srgbClr val="000000"/>
              </a:solidFill>
              <a:prstDash val="sysDash"/>
              <a:round/>
            </a:ln>
          </c:spPr>
          <c:marker>
            <c:symbol val="none"/>
          </c:marker>
          <c:dPt>
            <c:idx val="0"/>
            <c:marker>
              <c:symbol val="none"/>
            </c:marker>
          </c:dPt>
          <c:dPt>
            <c:idx val="1"/>
            <c:marker>
              <c:symbol val="none"/>
            </c:marker>
          </c:dPt>
          <c:dLbls>
            <c:dLbl>
              <c:idx val="0"/>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dLbl>
            <c:dLbl>
              <c:idx val="1"/>
              <c:layout>
                <c:manualLayout>
                  <c:x val="-0.00898876404494388"/>
                  <c:y val="0"/>
                </c:manualLayout>
              </c:layout>
              <c:tx>
                <c:rich>
                  <a:bodyPr/>
                  <a:p>
                    <a:r>
                      <a:rPr lang="en-US" sz="1000" b="1" u="none" strike="noStrike">
                        <a:solidFill>
                          <a:schemeClr val="tx1"/>
                        </a:solidFill>
                        <a:uFillTx/>
                        <a:latin typeface="Arial"/>
                      </a:rPr>
                      <a:t>AVSS</a:t>
                    </a:r>
                  </a:p>
                </c:rich>
              </c:tx>
              <c:txPr>
                <a:bodyPr wrap="square"/>
                <a:lstStyle/>
                <a:p>
                  <a:pPr>
                    <a:defRPr sz="1000" b="0" u="none" strike="noStrike">
                      <a:solidFill>
                        <a:srgbClr val="000000"/>
                      </a:solidFill>
                      <a:uFillTx/>
                      <a:latin typeface="Arial"/>
                    </a:defRPr>
                  </a:pPr>
                </a:p>
              </c:txPr>
              <c:dLblPos val="r"/>
              <c:showLegendKey val="0"/>
              <c:showVal val="0"/>
              <c:showCatName val="0"/>
              <c:showSerName val="1"/>
              <c:showPercent val="0"/>
              <c:separator>; </c:separator>
            </c:dLbl>
            <c:numFmt formatCode="General" sourceLinked="1"/>
            <c:txPr>
              <a:bodyPr wrap="square"/>
              <a:lstStyle/>
              <a:p>
                <a:pPr>
                  <a:defRPr sz="1000" b="0" u="none" strike="noStrike">
                    <a:solidFill>
                      <a:srgbClr val="000000"/>
                    </a:solidFill>
                    <a:uFillTx/>
                    <a:latin typeface="Arial"/>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Range'!$O$44:$O$45</c:f>
              <c:numCache>
                <c:formatCode>General</c:formatCode>
                <c:ptCount val="2"/>
                <c:pt idx="0">
                  <c:v>0</c:v>
                </c:pt>
                <c:pt idx="1">
                  <c:v>1.8</c:v>
                </c:pt>
              </c:numCache>
            </c:numRef>
          </c:xVal>
          <c:yVal>
            <c:numRef>
              <c:f>'PGA Common-Mode Range'!$P$44:$P$45</c:f>
              <c:numCache>
                <c:formatCode>General</c:formatCode>
                <c:ptCount val="2"/>
                <c:pt idx="0">
                  <c:v>0</c:v>
                </c:pt>
                <c:pt idx="1">
                  <c:v>0</c:v>
                </c:pt>
              </c:numCache>
            </c:numRef>
          </c:yVal>
          <c:smooth val="0"/>
        </c:ser>
        <c:ser>
          <c:idx val="4"/>
          <c:order val="4"/>
          <c:tx>
            <c:strRef>
              <c:f>"AVDD"</c:f>
              <c:strCache>
                <c:ptCount val="1"/>
                <c:pt idx="0">
                  <c:v>AVDD</c:v>
                </c:pt>
              </c:strCache>
            </c:strRef>
          </c:tx>
          <c:spPr>
            <a:solidFill>
              <a:srgbClr val="000000"/>
            </a:solidFill>
            <a:ln w="12600">
              <a:solidFill>
                <a:srgbClr val="000000"/>
              </a:solidFill>
              <a:prstDash val="sysDash"/>
              <a:round/>
            </a:ln>
          </c:spPr>
          <c:marker>
            <c:symbol val="none"/>
          </c:marker>
          <c:dPt>
            <c:idx val="0"/>
            <c:marker>
              <c:symbol val="none"/>
            </c:marker>
          </c:dPt>
          <c:dPt>
            <c:idx val="1"/>
            <c:marker>
              <c:symbol val="none"/>
            </c:marker>
          </c:dPt>
          <c:dLbls>
            <c:dLbl>
              <c:idx val="0"/>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dLbl>
            <c:dLbl>
              <c:idx val="1"/>
              <c:layout>
                <c:manualLayout>
                  <c:x val="-0.00952430059475853"/>
                  <c:y val="-0.00462974431566841"/>
                </c:manualLayout>
              </c:layout>
              <c:tx>
                <c:rich>
                  <a:bodyPr/>
                  <a:p>
                    <a:r>
                      <a:rPr lang="en-US" sz="1000" b="1" u="none" strike="noStrike">
                        <a:solidFill>
                          <a:schemeClr val="tx1"/>
                        </a:solidFill>
                        <a:uFillTx/>
                        <a:latin typeface="Arial"/>
                      </a:rPr>
                      <a:t>AVDD</a:t>
                    </a:r>
                  </a:p>
                </c:rich>
              </c:tx>
              <c:txPr>
                <a:bodyPr wrap="square"/>
                <a:lstStyle/>
                <a:p>
                  <a:pPr>
                    <a:defRPr sz="1000" b="0" u="none" strike="noStrike">
                      <a:solidFill>
                        <a:srgbClr val="000000"/>
                      </a:solidFill>
                      <a:uFillTx/>
                      <a:latin typeface="Arial"/>
                    </a:defRPr>
                  </a:pPr>
                </a:p>
              </c:txPr>
              <c:dLblPos val="r"/>
              <c:showLegendKey val="0"/>
              <c:showVal val="0"/>
              <c:showCatName val="0"/>
              <c:showSerName val="1"/>
              <c:showPercent val="0"/>
              <c:separator>; </c:separator>
            </c:dLbl>
            <c:numFmt formatCode="General" sourceLinked="1"/>
            <c:txPr>
              <a:bodyPr wrap="square"/>
              <a:lstStyle/>
              <a:p>
                <a:pPr>
                  <a:defRPr sz="1000" b="0" u="none" strike="noStrike">
                    <a:solidFill>
                      <a:srgbClr val="000000"/>
                    </a:solidFill>
                    <a:uFillTx/>
                    <a:latin typeface="Arial"/>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Range'!$O$42:$O$43</c:f>
              <c:numCache>
                <c:formatCode>General</c:formatCode>
                <c:ptCount val="2"/>
                <c:pt idx="0">
                  <c:v>0</c:v>
                </c:pt>
                <c:pt idx="1">
                  <c:v>1.8</c:v>
                </c:pt>
              </c:numCache>
            </c:numRef>
          </c:xVal>
          <c:yVal>
            <c:numRef>
              <c:f>'PGA Common-Mode Range'!$P$42:$P$43</c:f>
              <c:numCache>
                <c:formatCode>General</c:formatCode>
                <c:ptCount val="2"/>
                <c:pt idx="0">
                  <c:v>3.3</c:v>
                </c:pt>
                <c:pt idx="1">
                  <c:v>3.3</c:v>
                </c:pt>
              </c:numCache>
            </c:numRef>
          </c:yVal>
          <c:smooth val="0"/>
        </c:ser>
        <c:ser>
          <c:idx val="5"/>
          <c:order val="5"/>
          <c:tx>
            <c:strRef>
              <c:f>"Center"</c:f>
              <c:strCache>
                <c:ptCount val="1"/>
                <c:pt idx="0">
                  <c:v>Center</c:v>
                </c:pt>
              </c:strCache>
            </c:strRef>
          </c:tx>
          <c:spPr>
            <a:solidFill>
              <a:srgbClr val="000000"/>
            </a:solidFill>
            <a:ln w="19080">
              <a:solidFill>
                <a:srgbClr val="00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xVal>
            <c:numRef>
              <c:f>'PGA Common-Mode Range'!$O$39:$O$40</c:f>
              <c:numCache>
                <c:formatCode>General</c:formatCode>
                <c:ptCount val="2"/>
                <c:pt idx="0">
                  <c:v>1</c:v>
                </c:pt>
                <c:pt idx="1">
                  <c:v>1</c:v>
                </c:pt>
              </c:numCache>
            </c:numRef>
          </c:xVal>
          <c:yVal>
            <c:numRef>
              <c:f>'PGA Common-Mode Range'!$P$39:$P$40</c:f>
              <c:numCache>
                <c:formatCode>General</c:formatCode>
                <c:ptCount val="2"/>
                <c:pt idx="0">
                  <c:v>-0.5</c:v>
                </c:pt>
                <c:pt idx="1">
                  <c:v>3.8</c:v>
                </c:pt>
              </c:numCache>
            </c:numRef>
          </c:yVal>
          <c:smooth val="0"/>
        </c:ser>
        <c:ser>
          <c:idx val="6"/>
          <c:order val="6"/>
          <c:tx>
            <c:strRef>
              <c:f>"VOUTP"</c:f>
              <c:strCache>
                <c:ptCount val="1"/>
                <c:pt idx="0">
                  <c:v>VOUTP</c:v>
                </c:pt>
              </c:strCache>
            </c:strRef>
          </c:tx>
          <c:spPr>
            <a:solidFill>
              <a:srgbClr val="1F497D"/>
            </a:solidFill>
            <a:ln w="12600">
              <a:solidFill>
                <a:schemeClr val="dk2"/>
              </a:solidFill>
              <a:round/>
            </a:ln>
          </c:spPr>
          <c:marker>
            <c:symbol val="none"/>
          </c:marker>
          <c:dPt>
            <c:idx val="0"/>
            <c:marker>
              <c:symbol val="none"/>
            </c:marker>
          </c:dPt>
          <c:dPt>
            <c:idx val="1"/>
            <c:marker>
              <c:symbol val="none"/>
            </c:marker>
          </c:dPt>
          <c:dLbls>
            <c:dLbl>
              <c:idx val="0"/>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dLbl>
            <c:dLbl>
              <c:idx val="1"/>
              <c:layout>
                <c:manualLayout>
                  <c:x val="-0.0539730134932534"/>
                  <c:y val="-0.0332840838715385"/>
                </c:manualLayout>
              </c:layout>
              <c:tx>
                <c:rich>
                  <a:bodyPr/>
                  <a:p>
                    <a:r>
                      <a:rPr lang="en-US" sz="1000" b="1" u="none" strike="noStrike">
                        <a:solidFill>
                          <a:schemeClr val="tx2"/>
                        </a:solidFill>
                        <a:uFillTx/>
                        <a:latin typeface="Arial"/>
                      </a:rPr>
                      <a:t>V</a:t>
                    </a:r>
                    <a:r>
                      <a:rPr lang="en-US" sz="1000" b="1" u="none" strike="noStrike" baseline="-25000">
                        <a:solidFill>
                          <a:schemeClr val="tx2"/>
                        </a:solidFill>
                        <a:uFillTx/>
                        <a:latin typeface="Arial"/>
                      </a:rPr>
                      <a:t>OUT</a:t>
                    </a:r>
                    <a:r>
                      <a:rPr lang="en-US" sz="1000" b="1" u="none" strike="noStrike" baseline="-25000">
                        <a:solidFill>
                          <a:srgbClr val="000000"/>
                        </a:solidFill>
                        <a:uFillTx/>
                        <a:latin typeface="Arial"/>
                      </a:rPr>
                      <a:t>P</a:t>
                    </a:r>
                  </a:p>
                </c:rich>
              </c:tx>
              <c:numFmt formatCode="General" sourceLinked="1"/>
              <c:txPr>
                <a:bodyPr wrap="square"/>
                <a:lstStyle/>
                <a:p>
                  <a:pPr>
                    <a:defRPr sz="1000" b="0" u="none" strike="noStrike">
                      <a:solidFill>
                        <a:srgbClr val="000000"/>
                      </a:solidFill>
                      <a:uFillTx/>
                      <a:latin typeface="Arial"/>
                    </a:defRPr>
                  </a:pPr>
                </a:p>
              </c:txPr>
              <c:dLblPos val="r"/>
              <c:showLegendKey val="0"/>
              <c:showVal val="1"/>
              <c:showCatName val="0"/>
              <c:showSerName val="0"/>
              <c:showPercent val="0"/>
              <c:separator>; </c:separator>
            </c:dLbl>
            <c:numFmt formatCode="General" sourceLinked="1"/>
            <c:txPr>
              <a:bodyPr wrap="square"/>
              <a:lstStyle/>
              <a:p>
                <a:pPr>
                  <a:defRPr sz="1000" b="0" u="none" strike="noStrike">
                    <a:solidFill>
                      <a:srgbClr val="000000"/>
                    </a:solidFill>
                    <a:uFillTx/>
                    <a:latin typeface="Arial"/>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Range'!$O$54:$O$55</c:f>
              <c:numCache>
                <c:formatCode>General</c:formatCode>
                <c:ptCount val="2"/>
                <c:pt idx="0">
                  <c:v>1.4</c:v>
                </c:pt>
                <c:pt idx="1">
                  <c:v>1.6</c:v>
                </c:pt>
              </c:numCache>
            </c:numRef>
          </c:xVal>
          <c:yVal>
            <c:numRef>
              <c:f>'PGA Common-Mode Range'!$P$54:$P$55</c:f>
              <c:numCache>
                <c:formatCode>General</c:formatCode>
                <c:ptCount val="2"/>
                <c:pt idx="0">
                  <c:v>1.22175</c:v>
                </c:pt>
                <c:pt idx="1">
                  <c:v>1.22175</c:v>
                </c:pt>
              </c:numCache>
            </c:numRef>
          </c:yVal>
          <c:smooth val="0"/>
        </c:ser>
        <c:ser>
          <c:idx val="7"/>
          <c:order val="7"/>
          <c:tx>
            <c:strRef>
              <c:f>"VOUTN"</c:f>
              <c:strCache>
                <c:ptCount val="1"/>
                <c:pt idx="0">
                  <c:v>VOUTN</c:v>
                </c:pt>
              </c:strCache>
            </c:strRef>
          </c:tx>
          <c:spPr>
            <a:solidFill>
              <a:srgbClr val="4BACC6"/>
            </a:solidFill>
            <a:ln w="12600">
              <a:solidFill>
                <a:schemeClr val="accent5"/>
              </a:solidFill>
              <a:round/>
            </a:ln>
          </c:spPr>
          <c:marker>
            <c:symbol val="none"/>
          </c:marker>
          <c:dPt>
            <c:idx val="0"/>
            <c:marker>
              <c:symbol val="none"/>
            </c:marker>
          </c:dPt>
          <c:dPt>
            <c:idx val="1"/>
            <c:marker>
              <c:symbol val="none"/>
            </c:marker>
          </c:dPt>
          <c:dLbls>
            <c:dLbl>
              <c:idx val="0"/>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dLbl>
            <c:dLbl>
              <c:idx val="1"/>
              <c:layout>
                <c:manualLayout>
                  <c:x val="-0.0559720139930035"/>
                  <c:y val="0.0213834085346073"/>
                </c:manualLayout>
              </c:layout>
              <c:tx>
                <c:rich>
                  <a:bodyPr/>
                  <a:p>
                    <a:r>
                      <a:rPr lang="en-US" sz="1000" b="1" u="none" strike="noStrike">
                        <a:solidFill>
                          <a:schemeClr val="accent5"/>
                        </a:solidFill>
                        <a:uFillTx/>
                        <a:latin typeface="Arial"/>
                      </a:rPr>
                      <a:t>V</a:t>
                    </a:r>
                    <a:r>
                      <a:rPr lang="en-US" sz="1000" b="1" u="none" strike="noStrike" baseline="-25000">
                        <a:solidFill>
                          <a:schemeClr val="accent5"/>
                        </a:solidFill>
                        <a:uFillTx/>
                        <a:latin typeface="Arial"/>
                      </a:rPr>
                      <a:t>OUTN</a:t>
                    </a:r>
                  </a:p>
                </c:rich>
              </c:tx>
              <c:numFmt formatCode="General" sourceLinked="1"/>
              <c:txPr>
                <a:bodyPr wrap="square"/>
                <a:lstStyle/>
                <a:p>
                  <a:pPr>
                    <a:defRPr sz="1000" b="0" u="none" strike="noStrike">
                      <a:solidFill>
                        <a:srgbClr val="000000"/>
                      </a:solidFill>
                      <a:uFillTx/>
                      <a:latin typeface="Arial"/>
                    </a:defRPr>
                  </a:pPr>
                </a:p>
              </c:txPr>
              <c:dLblPos val="r"/>
              <c:showLegendKey val="0"/>
              <c:showVal val="1"/>
              <c:showCatName val="0"/>
              <c:showSerName val="0"/>
              <c:showPercent val="0"/>
              <c:separator>; </c:separator>
            </c:dLbl>
            <c:numFmt formatCode="General" sourceLinked="1"/>
            <c:txPr>
              <a:bodyPr wrap="square"/>
              <a:lstStyle/>
              <a:p>
                <a:pPr>
                  <a:defRPr sz="1000" b="0" u="none" strike="noStrike">
                    <a:solidFill>
                      <a:srgbClr val="000000"/>
                    </a:solidFill>
                    <a:uFillTx/>
                    <a:latin typeface="Arial"/>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Range'!$O$56:$O$57</c:f>
              <c:numCache>
                <c:formatCode>General</c:formatCode>
                <c:ptCount val="2"/>
                <c:pt idx="0">
                  <c:v>1.4</c:v>
                </c:pt>
                <c:pt idx="1">
                  <c:v>1.6</c:v>
                </c:pt>
              </c:numCache>
            </c:numRef>
          </c:xVal>
          <c:yVal>
            <c:numRef>
              <c:f>'PGA Common-Mode Range'!$P$56:$P$57</c:f>
              <c:numCache>
                <c:formatCode>General</c:formatCode>
                <c:ptCount val="2"/>
                <c:pt idx="0">
                  <c:v>1.02975</c:v>
                </c:pt>
                <c:pt idx="1">
                  <c:v>1.02975</c:v>
                </c:pt>
              </c:numCache>
            </c:numRef>
          </c:yVal>
          <c:smooth val="0"/>
        </c:ser>
        <c:ser>
          <c:idx val="8"/>
          <c:order val="8"/>
          <c:tx>
            <c:strRef>
              <c:f>"iop"</c:f>
              <c:strCache>
                <c:ptCount val="1"/>
                <c:pt idx="0">
                  <c:v>iop</c:v>
                </c:pt>
              </c:strCache>
            </c:strRef>
          </c:tx>
          <c:spPr>
            <a:solidFill>
              <a:srgbClr val="000000"/>
            </a:solidFill>
            <a:ln w="12600">
              <a:solidFill>
                <a:srgbClr val="000000"/>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xVal>
            <c:numRef>
              <c:f>'PGA Common-Mode Range'!$O$61:$O$62</c:f>
              <c:numCache>
                <c:formatCode>General</c:formatCode>
                <c:ptCount val="2"/>
                <c:pt idx="0">
                  <c:v>0.61</c:v>
                </c:pt>
                <c:pt idx="1">
                  <c:v>1.39</c:v>
                </c:pt>
              </c:numCache>
            </c:numRef>
          </c:xVal>
          <c:yVal>
            <c:numRef>
              <c:f>'PGA Common-Mode Range'!$P$61:$P$62</c:f>
              <c:numCache>
                <c:formatCode>General</c:formatCode>
                <c:ptCount val="2"/>
                <c:pt idx="0">
                  <c:v>1.1265</c:v>
                </c:pt>
                <c:pt idx="1">
                  <c:v>1.22175</c:v>
                </c:pt>
              </c:numCache>
            </c:numRef>
          </c:yVal>
          <c:smooth val="0"/>
        </c:ser>
        <c:ser>
          <c:idx val="9"/>
          <c:order val="9"/>
          <c:tx>
            <c:strRef>
              <c:f>"ion"</c:f>
              <c:strCache>
                <c:ptCount val="1"/>
                <c:pt idx="0">
                  <c:v>ion</c:v>
                </c:pt>
              </c:strCache>
            </c:strRef>
          </c:tx>
          <c:spPr>
            <a:solidFill>
              <a:srgbClr val="000000"/>
            </a:solidFill>
            <a:ln w="12600">
              <a:solidFill>
                <a:srgbClr val="000000"/>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xVal>
            <c:numRef>
              <c:f>'PGA Common-Mode Range'!$O$63:$O$64</c:f>
              <c:numCache>
                <c:formatCode>General</c:formatCode>
                <c:ptCount val="2"/>
                <c:pt idx="0">
                  <c:v>0.61</c:v>
                </c:pt>
                <c:pt idx="1">
                  <c:v>1.39</c:v>
                </c:pt>
              </c:numCache>
            </c:numRef>
          </c:xVal>
          <c:yVal>
            <c:numRef>
              <c:f>'PGA Common-Mode Range'!$P$63:$P$64</c:f>
              <c:numCache>
                <c:formatCode>General</c:formatCode>
                <c:ptCount val="2"/>
                <c:pt idx="0">
                  <c:v>1.125</c:v>
                </c:pt>
                <c:pt idx="1">
                  <c:v>1.02975</c:v>
                </c:pt>
              </c:numCache>
            </c:numRef>
          </c:yVal>
          <c:smooth val="0"/>
        </c:ser>
        <c:ser>
          <c:idx val="10"/>
          <c:order val="10"/>
          <c:tx>
            <c:strRef>
              <c:f>"Keep Out P"</c:f>
              <c:strCache>
                <c:ptCount val="1"/>
                <c:pt idx="0">
                  <c:v>Keep Out P</c:v>
                </c:pt>
              </c:strCache>
            </c:strRef>
          </c:tx>
          <c:spPr>
            <a:solidFill>
              <a:srgbClr val="FF0000"/>
            </a:solidFill>
            <a:ln w="25560">
              <a:solidFill>
                <a:srgbClr val="FF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xVal>
            <c:numRef>
              <c:f>'PGA Common-Mode Range'!$O$70:$O$71</c:f>
              <c:numCache>
                <c:formatCode>General</c:formatCode>
                <c:ptCount val="2"/>
                <c:pt idx="0">
                  <c:v>1</c:v>
                </c:pt>
                <c:pt idx="1">
                  <c:v>1.8</c:v>
                </c:pt>
              </c:numCache>
            </c:numRef>
          </c:xVal>
          <c:yVal>
            <c:numRef>
              <c:f>'PGA Common-Mode Range'!$P$70:$P$71</c:f>
              <c:numCache>
                <c:formatCode>General</c:formatCode>
                <c:ptCount val="2"/>
                <c:pt idx="0">
                  <c:v>3.1</c:v>
                </c:pt>
                <c:pt idx="1">
                  <c:v>3.1</c:v>
                </c:pt>
              </c:numCache>
            </c:numRef>
          </c:yVal>
          <c:smooth val="0"/>
        </c:ser>
        <c:ser>
          <c:idx val="11"/>
          <c:order val="11"/>
          <c:tx>
            <c:strRef>
              <c:f>"Keep Out N"</c:f>
              <c:strCache>
                <c:ptCount val="1"/>
                <c:pt idx="0">
                  <c:v>Keep Out N</c:v>
                </c:pt>
              </c:strCache>
            </c:strRef>
          </c:tx>
          <c:spPr>
            <a:solidFill>
              <a:srgbClr val="FF0000"/>
            </a:solidFill>
            <a:ln w="25560">
              <a:solidFill>
                <a:srgbClr val="FF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xVal>
            <c:numRef>
              <c:f>'PGA Common-Mode Range'!$O$72:$O$73</c:f>
              <c:numCache>
                <c:formatCode>General</c:formatCode>
                <c:ptCount val="2"/>
                <c:pt idx="0">
                  <c:v>1</c:v>
                </c:pt>
                <c:pt idx="1">
                  <c:v>1.8</c:v>
                </c:pt>
              </c:numCache>
            </c:numRef>
          </c:xVal>
          <c:yVal>
            <c:numRef>
              <c:f>'PGA Common-Mode Range'!$P$72:$P$73</c:f>
              <c:numCache>
                <c:formatCode>General</c:formatCode>
                <c:ptCount val="2"/>
                <c:pt idx="0">
                  <c:v>0.2</c:v>
                </c:pt>
                <c:pt idx="1">
                  <c:v>0.2</c:v>
                </c:pt>
              </c:numCache>
            </c:numRef>
          </c:yVal>
          <c:smooth val="0"/>
        </c:ser>
        <c:ser>
          <c:idx val="12"/>
          <c:order val="12"/>
          <c:tx>
            <c:strRef>
              <c:f>"VINPN_MAX"</c:f>
              <c:strCache>
                <c:ptCount val="1"/>
                <c:pt idx="0">
                  <c:v>VINPN_MAX</c:v>
                </c:pt>
              </c:strCache>
            </c:strRef>
          </c:tx>
          <c:spPr>
            <a:solidFill>
              <a:srgbClr val="FF0000"/>
            </a:solidFill>
            <a:ln w="25560">
              <a:solidFill>
                <a:srgbClr val="FF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xVal>
            <c:numRef>
              <c:f>'PGA Common-Mode Range'!$O$66:$O$67</c:f>
              <c:numCache>
                <c:formatCode>General</c:formatCode>
                <c:ptCount val="2"/>
                <c:pt idx="0">
                  <c:v>0</c:v>
                </c:pt>
                <c:pt idx="1">
                  <c:v>1</c:v>
                </c:pt>
              </c:numCache>
            </c:numRef>
          </c:xVal>
          <c:yVal>
            <c:numRef>
              <c:f>'PGA Common-Mode Range'!$P$66:$P$67</c:f>
              <c:numCache>
                <c:formatCode>0.0000</c:formatCode>
                <c:ptCount val="2"/>
                <c:pt idx="0">
                  <c:v>3.00475</c:v>
                </c:pt>
                <c:pt idx="1">
                  <c:v>3.00475</c:v>
                </c:pt>
              </c:numCache>
            </c:numRef>
          </c:yVal>
          <c:smooth val="0"/>
        </c:ser>
        <c:ser>
          <c:idx val="13"/>
          <c:order val="13"/>
          <c:tx>
            <c:strRef>
              <c:f>"VINPN_MIN"</c:f>
              <c:strCache>
                <c:ptCount val="1"/>
                <c:pt idx="0">
                  <c:v>VINPN_MIN</c:v>
                </c:pt>
              </c:strCache>
            </c:strRef>
          </c:tx>
          <c:spPr>
            <a:solidFill>
              <a:srgbClr val="FF0000"/>
            </a:solidFill>
            <a:ln w="25560">
              <a:solidFill>
                <a:srgbClr val="FF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xVal>
            <c:numRef>
              <c:f>'PGA Common-Mode Range'!$O$68:$O$69</c:f>
              <c:numCache>
                <c:formatCode>General</c:formatCode>
                <c:ptCount val="2"/>
                <c:pt idx="0">
                  <c:v>0</c:v>
                </c:pt>
                <c:pt idx="1">
                  <c:v>1</c:v>
                </c:pt>
              </c:numCache>
            </c:numRef>
          </c:xVal>
          <c:yVal>
            <c:numRef>
              <c:f>'PGA Common-Mode Range'!$P$68:$P$69</c:f>
              <c:numCache>
                <c:formatCode>0.0000</c:formatCode>
                <c:ptCount val="2"/>
                <c:pt idx="0">
                  <c:v>0.82425</c:v>
                </c:pt>
                <c:pt idx="1">
                  <c:v>0.82425</c:v>
                </c:pt>
              </c:numCache>
            </c:numRef>
          </c:yVal>
          <c:smooth val="0"/>
        </c:ser>
        <c:ser>
          <c:idx val="14"/>
          <c:order val="14"/>
          <c:tx>
            <c:strRef>
              <c:f>"Diff. O/P"</c:f>
              <c:strCache>
                <c:ptCount val="1"/>
                <c:pt idx="0">
                  <c:v>Diff. O/P</c:v>
                </c:pt>
              </c:strCache>
            </c:strRef>
          </c:tx>
          <c:spPr>
            <a:solidFill>
              <a:srgbClr val="3399FF"/>
            </a:solidFill>
            <a:ln w="12600">
              <a:solidFill>
                <a:srgbClr val="3399FF"/>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xVal>
            <c:numRef>
              <c:f>'PGA Common-Mode Range'!$O$58:$O$59</c:f>
              <c:numCache>
                <c:formatCode>General</c:formatCode>
                <c:ptCount val="2"/>
                <c:pt idx="0">
                  <c:v>1.5</c:v>
                </c:pt>
                <c:pt idx="1">
                  <c:v>1.5</c:v>
                </c:pt>
              </c:numCache>
            </c:numRef>
          </c:xVal>
          <c:yVal>
            <c:numRef>
              <c:f>'PGA Common-Mode Range'!$P$58:$P$59</c:f>
              <c:numCache>
                <c:formatCode>General</c:formatCode>
                <c:ptCount val="2"/>
                <c:pt idx="0">
                  <c:v>1.22175</c:v>
                </c:pt>
                <c:pt idx="1">
                  <c:v>1.02975</c:v>
                </c:pt>
              </c:numCache>
            </c:numRef>
          </c:yVal>
          <c:smooth val="0"/>
        </c:ser>
        <c:ser>
          <c:idx val="15"/>
          <c:order val="15"/>
          <c:tx>
            <c:strRef>
              <c:f>"VREF_pos_limit"</c:f>
              <c:strCache>
                <c:ptCount val="1"/>
                <c:pt idx="0">
                  <c:v>VREF_pos_limit</c:v>
                </c:pt>
              </c:strCache>
            </c:strRef>
          </c:tx>
          <c:spPr>
            <a:solidFill>
              <a:srgbClr val="FF0000"/>
            </a:solidFill>
            <a:ln w="12600">
              <a:solidFill>
                <a:srgbClr val="FF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xVal>
            <c:numRef>
              <c:f>'PGA Common-Mode Range'!$O$78:$O$79</c:f>
              <c:numCache>
                <c:formatCode>General</c:formatCode>
                <c:ptCount val="2"/>
                <c:pt idx="0">
                  <c:v>5.9</c:v>
                </c:pt>
                <c:pt idx="1">
                  <c:v>6.1</c:v>
                </c:pt>
              </c:numCache>
            </c:numRef>
          </c:xVal>
          <c:yVal>
            <c:numRef>
              <c:f>'PGA Common-Mode Range'!$P$78:$P$79</c:f>
              <c:numCache>
                <c:formatCode>General</c:formatCode>
                <c:ptCount val="2"/>
                <c:pt idx="0">
                  <c:v>1.59075</c:v>
                </c:pt>
                <c:pt idx="1">
                  <c:v>1.59075</c:v>
                </c:pt>
              </c:numCache>
            </c:numRef>
          </c:yVal>
          <c:smooth val="0"/>
        </c:ser>
        <c:ser>
          <c:idx val="16"/>
          <c:order val="16"/>
          <c:tx>
            <c:strRef>
              <c:f>"VREF_neg_limit"</c:f>
              <c:strCache>
                <c:ptCount val="1"/>
                <c:pt idx="0">
                  <c:v>VREF_neg_limit</c:v>
                </c:pt>
              </c:strCache>
            </c:strRef>
          </c:tx>
          <c:spPr>
            <a:solidFill>
              <a:srgbClr val="FF0000"/>
            </a:solidFill>
            <a:ln w="12600">
              <a:solidFill>
                <a:srgbClr val="FF0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xVal>
            <c:numRef>
              <c:f>'PGA Common-Mode Range'!$O$80:$O$81</c:f>
              <c:numCache>
                <c:formatCode>General</c:formatCode>
                <c:ptCount val="2"/>
                <c:pt idx="0">
                  <c:v>5.9</c:v>
                </c:pt>
                <c:pt idx="1">
                  <c:v>6.1</c:v>
                </c:pt>
              </c:numCache>
            </c:numRef>
          </c:xVal>
          <c:yVal>
            <c:numRef>
              <c:f>'PGA Common-Mode Range'!$P$80:$P$81</c:f>
              <c:numCache>
                <c:formatCode>General</c:formatCode>
                <c:ptCount val="2"/>
                <c:pt idx="0">
                  <c:v>0.66075</c:v>
                </c:pt>
                <c:pt idx="1">
                  <c:v>0.66075</c:v>
                </c:pt>
              </c:numCache>
            </c:numRef>
          </c:yVal>
          <c:smooth val="0"/>
        </c:ser>
        <c:ser>
          <c:idx val="17"/>
          <c:order val="17"/>
          <c:tx>
            <c:strRef>
              <c:f>"VREF_diff_limit"</c:f>
              <c:strCache>
                <c:ptCount val="1"/>
                <c:pt idx="0">
                  <c:v>VREF_diff_limit</c:v>
                </c:pt>
              </c:strCache>
            </c:strRef>
          </c:tx>
          <c:spPr>
            <a:solidFill>
              <a:srgbClr val="FF0000"/>
            </a:solidFill>
            <a:ln w="25560">
              <a:solidFill>
                <a:srgbClr val="FF0000"/>
              </a:solidFill>
              <a:prstDash val="sysDash"/>
              <a:round/>
            </a:ln>
          </c:spPr>
          <c:marker>
            <c:symbol val="none"/>
          </c:marker>
          <c:dPt>
            <c:idx val="0"/>
            <c:marker>
              <c:symbol val="none"/>
            </c:marker>
          </c:dPt>
          <c:dPt>
            <c:idx val="1"/>
            <c:marker>
              <c:symbol val="none"/>
            </c:marker>
          </c:dPt>
          <c:dLbls>
            <c:dLbl>
              <c:idx val="0"/>
              <c:layout>
                <c:manualLayout>
                  <c:x val="0.00316382327209099"/>
                  <c:y val="0.120964864286224"/>
                </c:manualLayout>
              </c:layout>
              <c:tx>
                <c:rich>
                  <a:bodyPr/>
                  <a:p>
                    <a:r>
                      <a:rPr lang="en-US" sz="1000" b="1" u="none" strike="noStrike">
                        <a:solidFill>
                          <a:srgbClr val="FF0000"/>
                        </a:solidFill>
                        <a:uFillTx/>
                        <a:latin typeface="Calibri"/>
                      </a:rPr>
                      <a:t>VOUT</a:t>
                    </a:r>
                    <a:r>
                      <a:rPr lang="en-US" sz="1000" b="1" u="none" strike="noStrike">
                        <a:solidFill>
                          <a:srgbClr val="FF0000"/>
                        </a:solidFill>
                        <a:uFillTx/>
                        <a:latin typeface="Calibri"/>
                      </a:rPr>
                      <a:t> &gt;</a:t>
                    </a:r>
                    <a:r>
                      <a:rPr lang="en-US" sz="1000" b="1" u="none" strike="noStrike">
                        <a:solidFill>
                          <a:srgbClr val="FF0000"/>
                        </a:solidFill>
                        <a:uFillTx/>
                        <a:latin typeface="Calibri"/>
                      </a:rPr>
                      <a:t> VREF</a:t>
                    </a:r>
                    <a:r>
                      <a:rPr lang="en-US" sz="1000" b="1" u="none" strike="noStrike">
                        <a:solidFill>
                          <a:srgbClr val="FF0000"/>
                        </a:solidFill>
                        <a:uFillTx/>
                        <a:latin typeface="Calibri"/>
                      </a:rPr>
                      <a:t/>
                    </a:r>
                    <a:r>
                      <a:rPr lang="en-US" sz="1000" b="1" u="none" strike="noStrike">
                        <a:solidFill>
                          <a:srgbClr val="FF0000"/>
                        </a:solidFill>
                        <a:uFillTx/>
                        <a:latin typeface="Calibri"/>
                      </a:rPr>
                      <a:t/>
                    </a:r>
                    <a:r>
                      <a:rPr lang="el-GR" sz="1000" b="1" u="none" strike="noStrike">
                        <a:solidFill>
                          <a:srgbClr val="FF0000"/>
                        </a:solidFill>
                        <a:uFillTx/>
                        <a:latin typeface="Calibri"/>
                      </a:rPr>
                      <a:t>ΔΣ-</a:t>
                    </a:r>
                    <a:r>
                      <a:rPr lang="en-US" sz="1000" b="1" u="none" strike="noStrike">
                        <a:solidFill>
                          <a:srgbClr val="FF0000"/>
                        </a:solidFill>
                        <a:uFillTx/>
                        <a:latin typeface="Calibri"/>
                      </a:rPr>
                      <a:t>Modulator</a:t>
                    </a:r>
                    <a:r>
                      <a:rPr lang="en-US" sz="1000" b="1" u="none" strike="noStrike">
                        <a:solidFill>
                          <a:srgbClr val="FF0000"/>
                        </a:solidFill>
                        <a:uFillTx/>
                        <a:latin typeface="Calibri"/>
                      </a:rPr>
                      <a:t/>
                    </a:r>
                    <a:r>
                      <a:rPr lang="en-US" sz="1000" b="1" u="none" strike="noStrike">
                        <a:solidFill>
                          <a:srgbClr val="FF0000"/>
                        </a:solidFill>
                        <a:uFillTx/>
                        <a:latin typeface="Calibri"/>
                      </a:rPr>
                      <a:t>output is clipped!</a:t>
                    </a:r>
                  </a:p>
                </c:rich>
              </c:tx>
              <c:numFmt formatCode="General" sourceLinked="1"/>
              <c:txPr>
                <a:bodyPr wrap="square"/>
                <a:lstStyle/>
                <a:p>
                  <a:pPr>
                    <a:defRPr sz="1000" b="0" u="none" strike="noStrike">
                      <a:solidFill>
                        <a:srgbClr val="000000"/>
                      </a:solidFill>
                      <a:uFillTx/>
                      <a:latin typeface="Calibri"/>
                    </a:defRPr>
                  </a:pPr>
                </a:p>
              </c:txPr>
              <c:dLblPos val="r"/>
              <c:showLegendKey val="0"/>
              <c:showVal val="1"/>
              <c:showCatName val="0"/>
              <c:showSerName val="0"/>
              <c:showPercent val="0"/>
              <c:separator>; </c:separator>
            </c:dLbl>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numFmt formatCode="General" sourceLinked="1"/>
            <c:txPr>
              <a:bodyPr wrap="square"/>
              <a:lstStyle/>
              <a:p>
                <a:pPr>
                  <a:defRPr sz="1000" b="0" u="none" strike="noStrike">
                    <a:solidFill>
                      <a:srgbClr val="000000"/>
                    </a:solidFill>
                    <a:uFillTx/>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Range'!$O$82:$O$83</c:f>
              <c:numCache>
                <c:formatCode>General</c:formatCode>
                <c:ptCount val="2"/>
                <c:pt idx="0">
                  <c:v>6</c:v>
                </c:pt>
                <c:pt idx="1">
                  <c:v>6</c:v>
                </c:pt>
              </c:numCache>
            </c:numRef>
          </c:xVal>
          <c:yVal>
            <c:numRef>
              <c:f>'PGA Common-Mode Range'!$P$82:$P$83</c:f>
              <c:numCache>
                <c:formatCode>General</c:formatCode>
                <c:ptCount val="2"/>
                <c:pt idx="0">
                  <c:v>1.59075</c:v>
                </c:pt>
                <c:pt idx="1">
                  <c:v>0.66075</c:v>
                </c:pt>
              </c:numCache>
            </c:numRef>
          </c:yVal>
          <c:smooth val="0"/>
        </c:ser>
        <c:ser>
          <c:idx val="18"/>
          <c:order val="18"/>
          <c:tx>
            <c:strRef>
              <c:f>"VOUTP_CLIPPED"</c:f>
              <c:strCache>
                <c:ptCount val="1"/>
                <c:pt idx="0">
                  <c:v>VOUTP_CLIPPED</c:v>
                </c:pt>
              </c:strCache>
            </c:strRef>
          </c:tx>
          <c:spPr>
            <a:solidFill>
              <a:srgbClr val="FF0000"/>
            </a:solidFill>
            <a:ln w="34920">
              <a:solidFill>
                <a:srgbClr val="FF0000"/>
              </a:solidFill>
              <a:round/>
            </a:ln>
          </c:spPr>
          <c:marker>
            <c:symbol val="none"/>
          </c:marker>
          <c:dPt>
            <c:idx val="0"/>
            <c:marker>
              <c:symbol val="none"/>
            </c:marker>
          </c:dPt>
          <c:dPt>
            <c:idx val="1"/>
            <c:marker>
              <c:symbol val="none"/>
            </c:marker>
          </c:dPt>
          <c:dLbls>
            <c:dLbl>
              <c:idx val="0"/>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dLbl>
              <c:idx val="1"/>
              <c:tx>
                <c:rich>
                  <a:bodyPr/>
                  <a:p>
                    <a:r>
                      <a:rPr lang="en-US" sz="1000" b="1" u="none" strike="noStrike">
                        <a:solidFill>
                          <a:srgbClr val="FF0000"/>
                        </a:solidFill>
                        <a:uFillTx/>
                        <a:latin typeface="Calibri"/>
                      </a:rPr>
                      <a:t>CLIPPED!</a:t>
                    </a:r>
                  </a:p>
                </c:rich>
              </c:tx>
              <c:numFmt formatCode="General" sourceLinked="1"/>
              <c:txPr>
                <a:bodyPr wrap="square"/>
                <a:lstStyle/>
                <a:p>
                  <a:pPr>
                    <a:defRPr sz="1000" b="0" u="none" strike="noStrike">
                      <a:solidFill>
                        <a:srgbClr val="000000"/>
                      </a:solidFill>
                      <a:uFillTx/>
                      <a:latin typeface="Calibri"/>
                    </a:defRPr>
                  </a:pPr>
                </a:p>
              </c:txPr>
              <c:dLblPos val="r"/>
              <c:showLegendKey val="0"/>
              <c:showVal val="1"/>
              <c:showCatName val="0"/>
              <c:showSerName val="0"/>
              <c:showPercent val="0"/>
              <c:separator>; </c:separator>
            </c:dLbl>
            <c:numFmt formatCode="General" sourceLinked="1"/>
            <c:txPr>
              <a:bodyPr wrap="square"/>
              <a:lstStyle/>
              <a:p>
                <a:pPr>
                  <a:defRPr sz="1000" b="0" u="none" strike="noStrike">
                    <a:solidFill>
                      <a:srgbClr val="000000"/>
                    </a:solidFill>
                    <a:uFillTx/>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Range'!$O$84:$O$85</c:f>
              <c:numCache>
                <c:formatCode>General</c:formatCode>
                <c:ptCount val="2"/>
                <c:pt idx="0">
                  <c:v>5.9</c:v>
                </c:pt>
                <c:pt idx="1">
                  <c:v>6</c:v>
                </c:pt>
              </c:numCache>
            </c:numRef>
          </c:xVal>
          <c:yVal>
            <c:numRef>
              <c:f>'PGA Common-Mode Range'!$P$84:$P$85</c:f>
              <c:numCache>
                <c:formatCode>General</c:formatCode>
                <c:ptCount val="2"/>
                <c:pt idx="0">
                  <c:v>1.22175</c:v>
                </c:pt>
                <c:pt idx="1">
                  <c:v>1.22175</c:v>
                </c:pt>
              </c:numCache>
            </c:numRef>
          </c:yVal>
          <c:smooth val="0"/>
        </c:ser>
        <c:ser>
          <c:idx val="19"/>
          <c:order val="19"/>
          <c:tx>
            <c:strRef>
              <c:f>"VOUTN_CLIPPED"</c:f>
              <c:strCache>
                <c:ptCount val="1"/>
                <c:pt idx="0">
                  <c:v>VOUTN_CLIPPED</c:v>
                </c:pt>
              </c:strCache>
            </c:strRef>
          </c:tx>
          <c:spPr>
            <a:solidFill>
              <a:srgbClr val="FF0000"/>
            </a:solidFill>
            <a:ln w="34920">
              <a:solidFill>
                <a:srgbClr val="FF0000"/>
              </a:solidFill>
              <a:round/>
            </a:ln>
          </c:spPr>
          <c:marker>
            <c:symbol val="none"/>
          </c:marker>
          <c:dPt>
            <c:idx val="0"/>
            <c:marker>
              <c:symbol val="none"/>
            </c:marker>
          </c:dPt>
          <c:dPt>
            <c:idx val="1"/>
            <c:marker>
              <c:symbol val="none"/>
            </c:marker>
          </c:dPt>
          <c:dLbls>
            <c:dLbl>
              <c:idx val="0"/>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dLbl>
              <c:idx val="1"/>
              <c:tx>
                <c:rich>
                  <a:bodyPr/>
                  <a:p>
                    <a:r>
                      <a:rPr lang="en-US" sz="1000" b="1" u="none" strike="noStrike">
                        <a:solidFill>
                          <a:srgbClr val="FF0000"/>
                        </a:solidFill>
                        <a:uFillTx/>
                        <a:latin typeface="Calibri"/>
                      </a:rPr>
                      <a:t>CLIPPED!</a:t>
                    </a:r>
                  </a:p>
                </c:rich>
              </c:tx>
              <c:numFmt formatCode="General" sourceLinked="1"/>
              <c:txPr>
                <a:bodyPr wrap="square"/>
                <a:lstStyle/>
                <a:p>
                  <a:pPr>
                    <a:defRPr sz="1000" b="0" u="none" strike="noStrike">
                      <a:solidFill>
                        <a:srgbClr val="000000"/>
                      </a:solidFill>
                      <a:uFillTx/>
                      <a:latin typeface="Calibri"/>
                    </a:defRPr>
                  </a:pPr>
                </a:p>
              </c:txPr>
              <c:dLblPos val="r"/>
              <c:showLegendKey val="0"/>
              <c:showVal val="1"/>
              <c:showCatName val="0"/>
              <c:showSerName val="0"/>
              <c:showPercent val="0"/>
              <c:separator>; </c:separator>
            </c:dLbl>
            <c:numFmt formatCode="General" sourceLinked="1"/>
            <c:txPr>
              <a:bodyPr wrap="square"/>
              <a:lstStyle/>
              <a:p>
                <a:pPr>
                  <a:defRPr sz="1000" b="0" u="none" strike="noStrike">
                    <a:solidFill>
                      <a:srgbClr val="000000"/>
                    </a:solidFill>
                    <a:uFillTx/>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xVal>
            <c:numRef>
              <c:f>'PGA Common-Mode Range'!$O$86:$O$87</c:f>
              <c:numCache>
                <c:formatCode>General</c:formatCode>
                <c:ptCount val="2"/>
                <c:pt idx="0">
                  <c:v>5.9</c:v>
                </c:pt>
                <c:pt idx="1">
                  <c:v>6</c:v>
                </c:pt>
              </c:numCache>
            </c:numRef>
          </c:xVal>
          <c:yVal>
            <c:numRef>
              <c:f>'PGA Common-Mode Range'!$P$86:$P$87</c:f>
              <c:numCache>
                <c:formatCode>General</c:formatCode>
                <c:ptCount val="2"/>
                <c:pt idx="0">
                  <c:v>1.02975</c:v>
                </c:pt>
                <c:pt idx="1">
                  <c:v>1.02975</c:v>
                </c:pt>
              </c:numCache>
            </c:numRef>
          </c:yVal>
          <c:smooth val="0"/>
        </c:ser>
        <c:ser>
          <c:idx val="20"/>
          <c:order val="20"/>
          <c:spPr>
            <a:solidFill>
              <a:srgbClr val="C7D6B1"/>
            </a:solidFill>
            <a:ln w="28440">
              <a:solidFill>
                <a:srgbClr val="C7D6B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'PGA Common-Mode Range'!$R$34</c:f>
              <c:numCache>
                <c:formatCode>General</c:formatCode>
                <c:ptCount val="1"/>
              </c:numCache>
            </c:numRef>
          </c:xVal>
          <c:yVal>
            <c:numRef>
              <c:f>'PGA Common-Mode Range'!$S$34</c:f>
              <c:numCache>
                <c:formatCode>General</c:formatCode>
                <c:ptCount val="1"/>
              </c:numCache>
            </c:numRef>
          </c:yVal>
          <c:smooth val="0"/>
        </c:ser>
        <c:ser>
          <c:idx val="21"/>
          <c:order val="21"/>
          <c:spPr>
            <a:solidFill>
              <a:srgbClr val="BDB4CB"/>
            </a:solidFill>
            <a:ln w="28440">
              <a:solidFill>
                <a:srgbClr val="BDB4C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'PGA Common-Mode Range'!$R$34</c:f>
              <c:numCache>
                <c:formatCode>General</c:formatCode>
                <c:ptCount val="1"/>
              </c:numCache>
            </c:numRef>
          </c:xVal>
          <c:yVal>
            <c:numRef>
              <c:f>'PGA Common-Mode Range'!$T$34</c:f>
              <c:numCache>
                <c:formatCode>General</c:formatCode>
                <c:ptCount val="1"/>
              </c:numCache>
            </c:numRef>
          </c:yVal>
          <c:smooth val="0"/>
        </c:ser>
        <c:axId val="10868232"/>
        <c:axId val="52285231"/>
      </c:scatterChart>
      <c:valAx>
        <c:axId val="10868232"/>
        <c:scaling>
          <c:orientation val="minMax"/>
          <c:max val="2.5"/>
          <c:min val="0"/>
        </c:scaling>
        <c:delete val="0"/>
        <c:axPos val="b"/>
        <c:numFmt formatCode="General" sourceLinked="0"/>
        <c:majorTickMark val="none"/>
        <c:minorTickMark val="none"/>
        <c:tickLblPos val="none"/>
        <c:spPr>
          <a:ln w="9360">
            <a:noFill/>
          </a:ln>
        </c:spPr>
        <c:txPr>
          <a:bodyPr/>
          <a:lstStyle/>
          <a:p>
            <a:pPr>
              <a:defRPr sz="1000" b="0" u="none" strike="noStrike">
                <a:solidFill>
                  <a:srgbClr val="000000"/>
                </a:solidFill>
                <a:uFillTx/>
                <a:latin typeface="Calibri"/>
              </a:defRPr>
            </a:pPr>
          </a:p>
        </c:txPr>
        <c:crossAx val="52285231"/>
        <c:crosses val="autoZero"/>
        <c:crossBetween val="midCat"/>
        <c:majorUnit val="1"/>
        <c:minorUnit val="1"/>
      </c:valAx>
      <c:valAx>
        <c:axId val="52285231"/>
        <c:scaling>
          <c:orientation val="minMax"/>
          <c:max val="6"/>
          <c:min val="-3"/>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Arial"/>
                  </a:rPr>
                  <a:t>Voltage (V)</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Arial"/>
              </a:defRPr>
            </a:pPr>
          </a:p>
        </c:txPr>
        <c:crossAx val="10868232"/>
        <c:crosses val="autoZero"/>
        <c:crossBetween val="midCat"/>
        <c:majorUnit val="1"/>
        <c:minorUnit val="1"/>
      </c:valAx>
      <c:spPr>
        <a:noFill/>
        <a:ln w="0">
          <a:noFill/>
        </a:ln>
      </c:spPr>
    </c:plotArea>
    <c:plotVisOnly val="0"/>
    <c:dispBlanksAs val="gap"/>
  </c:chart>
  <c:spPr>
    <a:noFill/>
    <a:ln w="936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2.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3.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hyperlink" Target="http://www.ti.com" TargetMode="External"/><Relationship Id="rId3" Type="http://schemas.openxmlformats.org/officeDocument/2006/relationships/image" Target="../media/image1.gif"/>
</Relationships>
</file>

<file path=xl/drawings/_rels/drawing5.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6.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7.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8.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
</Relationships>
</file>

<file path=xl/drawings/_rels/drawing9.xml.rels><?xml version="1.0" encoding="UTF-8"?>
<Relationships xmlns="http://schemas.openxmlformats.org/package/2006/relationships"><Relationship Id="rId1" Type="http://schemas.openxmlformats.org/officeDocument/2006/relationships/hyperlink" Target="http://www.ti.com" TargetMode="External"/><Relationship Id="rId2" Type="http://schemas.openxmlformats.org/officeDocument/2006/relationships/image" Target="../media/image1.gif"/><Relationship Id="rId3" Type="http://schemas.openxmlformats.org/officeDocument/2006/relationships/hyperlink" Target="http://e2e.ti.com/"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20</xdr:col>
      <xdr:colOff>269640</xdr:colOff>
      <xdr:row>2</xdr:row>
      <xdr:rowOff>190440</xdr:rowOff>
    </xdr:to>
    <xdr:sp>
      <xdr:nvSpPr>
        <xdr:cNvPr id="1" name="TextBox 3"/>
        <xdr:cNvSpPr/>
      </xdr:nvSpPr>
      <xdr:spPr>
        <a:xfrm>
          <a:off x="0" y="0"/>
          <a:ext cx="1358244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Calculator: Table of Contents</a:t>
          </a: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3</xdr:col>
      <xdr:colOff>347760</xdr:colOff>
      <xdr:row>2</xdr:row>
      <xdr:rowOff>184680</xdr:rowOff>
    </xdr:to>
    <xdr:pic>
      <xdr:nvPicPr>
        <xdr:cNvPr id="2" name="Picture 1" descr="ti logo">
          <a:hlinkClick r:id="rId1"/>
        </xdr:cNvPr>
        <xdr:cNvPicPr/>
      </xdr:nvPicPr>
      <xdr:blipFill>
        <a:blip r:embed="rId2"/>
        <a:srcRect l="-9300" t="-59977" r="0" b="-47959"/>
        <a:stretch/>
      </xdr:blipFill>
      <xdr:spPr>
        <a:xfrm>
          <a:off x="0" y="0"/>
          <a:ext cx="2281320" cy="565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12960</xdr:colOff>
      <xdr:row>14</xdr:row>
      <xdr:rowOff>360</xdr:rowOff>
    </xdr:from>
    <xdr:to>
      <xdr:col>11</xdr:col>
      <xdr:colOff>1248120</xdr:colOff>
      <xdr:row>14</xdr:row>
      <xdr:rowOff>123120</xdr:rowOff>
    </xdr:to>
    <xdr:sp>
      <xdr:nvSpPr>
        <xdr:cNvPr id="3" name="Right Brace 3"/>
        <xdr:cNvSpPr/>
      </xdr:nvSpPr>
      <xdr:spPr>
        <a:xfrm rot="16200000">
          <a:off x="8069400" y="-3667320"/>
          <a:ext cx="122760" cy="12792600"/>
        </a:xfrm>
        <a:prstGeom prst="rightBrace">
          <a:avLst>
            <a:gd name="adj1" fmla="val 14047"/>
            <a:gd name="adj2" fmla="val 51515"/>
          </a:avLst>
        </a:prstGeom>
        <a:noFill/>
        <a:ln w="28575">
          <a:solidFill>
            <a:srgbClr val="000000"/>
          </a:solidFill>
          <a:round/>
        </a:ln>
      </xdr:spPr>
      <xdr:style>
        <a:lnRef idx="1">
          <a:schemeClr val="accent1"/>
        </a:lnRef>
        <a:fillRef idx="0">
          <a:schemeClr val="accent1"/>
        </a:fillRef>
        <a:effectRef idx="0">
          <a:schemeClr val="accent1"/>
        </a:effectRef>
        <a:fontRef idx="minor"/>
      </xdr:style>
    </xdr:sp>
    <xdr:clientData/>
  </xdr:twoCellAnchor>
  <xdr:twoCellAnchor editAs="oneCell">
    <xdr:from>
      <xdr:col>0</xdr:col>
      <xdr:colOff>0</xdr:colOff>
      <xdr:row>0</xdr:row>
      <xdr:rowOff>0</xdr:rowOff>
    </xdr:from>
    <xdr:to>
      <xdr:col>15</xdr:col>
      <xdr:colOff>47160</xdr:colOff>
      <xdr:row>2</xdr:row>
      <xdr:rowOff>190440</xdr:rowOff>
    </xdr:to>
    <xdr:sp>
      <xdr:nvSpPr>
        <xdr:cNvPr id="4" name="TextBox 4"/>
        <xdr:cNvSpPr/>
      </xdr:nvSpPr>
      <xdr:spPr>
        <a:xfrm>
          <a:off x="0" y="0"/>
          <a:ext cx="1612548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Register Map</a:t>
          </a: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4</xdr:col>
      <xdr:colOff>559800</xdr:colOff>
      <xdr:row>2</xdr:row>
      <xdr:rowOff>184680</xdr:rowOff>
    </xdr:to>
    <xdr:pic>
      <xdr:nvPicPr>
        <xdr:cNvPr id="5" name="Picture 5" descr="ti logo">
          <a:hlinkClick r:id="rId1"/>
        </xdr:cNvPr>
        <xdr:cNvPicPr/>
      </xdr:nvPicPr>
      <xdr:blipFill>
        <a:blip r:embed="rId2"/>
        <a:srcRect l="-9300" t="-59977" r="0" b="-47959"/>
        <a:stretch/>
      </xdr:blipFill>
      <xdr:spPr>
        <a:xfrm>
          <a:off x="0" y="0"/>
          <a:ext cx="2281320" cy="5655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1803240</xdr:colOff>
      <xdr:row>0</xdr:row>
      <xdr:rowOff>0</xdr:rowOff>
    </xdr:from>
    <xdr:to>
      <xdr:col>15</xdr:col>
      <xdr:colOff>451800</xdr:colOff>
      <xdr:row>3</xdr:row>
      <xdr:rowOff>85680</xdr:rowOff>
    </xdr:to>
    <xdr:sp>
      <xdr:nvSpPr>
        <xdr:cNvPr id="6" name="TextBox 5"/>
        <xdr:cNvSpPr/>
      </xdr:nvSpPr>
      <xdr:spPr>
        <a:xfrm>
          <a:off x="2366640" y="0"/>
          <a:ext cx="1682280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Register Map</a:t>
          </a: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2</xdr:col>
      <xdr:colOff>1717920</xdr:colOff>
      <xdr:row>3</xdr:row>
      <xdr:rowOff>79920</xdr:rowOff>
    </xdr:to>
    <xdr:pic>
      <xdr:nvPicPr>
        <xdr:cNvPr id="7" name="Picture 6" descr="ti logo">
          <a:hlinkClick r:id="rId1"/>
        </xdr:cNvPr>
        <xdr:cNvPicPr/>
      </xdr:nvPicPr>
      <xdr:blipFill>
        <a:blip r:embed="rId2"/>
        <a:srcRect l="-9300" t="-59977" r="0" b="-47959"/>
        <a:stretch/>
      </xdr:blipFill>
      <xdr:spPr>
        <a:xfrm>
          <a:off x="0" y="0"/>
          <a:ext cx="2281320" cy="5655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390600</xdr:colOff>
      <xdr:row>7</xdr:row>
      <xdr:rowOff>47520</xdr:rowOff>
    </xdr:from>
    <xdr:to>
      <xdr:col>17</xdr:col>
      <xdr:colOff>694080</xdr:colOff>
      <xdr:row>20</xdr:row>
      <xdr:rowOff>190440</xdr:rowOff>
    </xdr:to>
    <xdr:graphicFrame>
      <xdr:nvGraphicFramePr>
        <xdr:cNvPr id="8" name="Chart 1"/>
        <xdr:cNvGraphicFramePr/>
      </xdr:nvGraphicFramePr>
      <xdr:xfrm>
        <a:off x="7478640" y="1380960"/>
        <a:ext cx="6897960" cy="2619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428760</xdr:colOff>
      <xdr:row>0</xdr:row>
      <xdr:rowOff>0</xdr:rowOff>
    </xdr:from>
    <xdr:to>
      <xdr:col>19</xdr:col>
      <xdr:colOff>156240</xdr:colOff>
      <xdr:row>2</xdr:row>
      <xdr:rowOff>190440</xdr:rowOff>
    </xdr:to>
    <xdr:sp>
      <xdr:nvSpPr>
        <xdr:cNvPr id="9" name="TextBox 7"/>
        <xdr:cNvSpPr/>
      </xdr:nvSpPr>
      <xdr:spPr>
        <a:xfrm>
          <a:off x="2452680" y="0"/>
          <a:ext cx="1378224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PGA Common-Mode Range Calculator</a:t>
          </a: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3</xdr:col>
      <xdr:colOff>257400</xdr:colOff>
      <xdr:row>2</xdr:row>
      <xdr:rowOff>184680</xdr:rowOff>
    </xdr:to>
    <xdr:pic>
      <xdr:nvPicPr>
        <xdr:cNvPr id="10" name="Picture 8" descr="ti logo">
          <a:hlinkClick r:id="rId2"/>
        </xdr:cNvPr>
        <xdr:cNvPicPr/>
      </xdr:nvPicPr>
      <xdr:blipFill>
        <a:blip r:embed="rId3"/>
        <a:srcRect l="-9300" t="-59977" r="0" b="-47959"/>
        <a:stretch/>
      </xdr:blipFill>
      <xdr:spPr>
        <a:xfrm>
          <a:off x="0" y="0"/>
          <a:ext cx="2281320" cy="5655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190800</xdr:colOff>
      <xdr:row>2</xdr:row>
      <xdr:rowOff>190440</xdr:rowOff>
    </xdr:to>
    <xdr:sp>
      <xdr:nvSpPr>
        <xdr:cNvPr id="11" name="TextBox 5"/>
        <xdr:cNvSpPr/>
      </xdr:nvSpPr>
      <xdr:spPr>
        <a:xfrm>
          <a:off x="0" y="0"/>
          <a:ext cx="1358244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Code-to-Voltage </a:t>
          </a:r>
          <a:r>
            <a:rPr lang="en-US" sz="1600" b="0" u="none" strike="noStrike">
              <a:solidFill>
                <a:schemeClr val="dk1"/>
              </a:solidFill>
              <a:effectLst/>
              <a:uFillTx/>
              <a:latin typeface="Arial Black"/>
            </a:rPr>
            <a:t>Conversion</a:t>
          </a: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2</xdr:col>
      <xdr:colOff>126720</xdr:colOff>
      <xdr:row>2</xdr:row>
      <xdr:rowOff>184680</xdr:rowOff>
    </xdr:to>
    <xdr:pic>
      <xdr:nvPicPr>
        <xdr:cNvPr id="12" name="Picture 6" descr="ti logo">
          <a:hlinkClick r:id="rId1"/>
        </xdr:cNvPr>
        <xdr:cNvPicPr/>
      </xdr:nvPicPr>
      <xdr:blipFill>
        <a:blip r:embed="rId2"/>
        <a:srcRect l="-9300" t="-59977" r="0" b="-47959"/>
        <a:stretch/>
      </xdr:blipFill>
      <xdr:spPr>
        <a:xfrm>
          <a:off x="0" y="0"/>
          <a:ext cx="2281320" cy="5655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56</xdr:col>
      <xdr:colOff>182160</xdr:colOff>
      <xdr:row>2</xdr:row>
      <xdr:rowOff>190440</xdr:rowOff>
    </xdr:to>
    <xdr:sp>
      <xdr:nvSpPr>
        <xdr:cNvPr id="13" name="TextBox 1"/>
        <xdr:cNvSpPr/>
      </xdr:nvSpPr>
      <xdr:spPr>
        <a:xfrm>
          <a:off x="0" y="0"/>
          <a:ext cx="1358244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Code-to-Temperature Conversion</a:t>
          </a: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9</xdr:col>
      <xdr:colOff>14400</xdr:colOff>
      <xdr:row>2</xdr:row>
      <xdr:rowOff>184680</xdr:rowOff>
    </xdr:to>
    <xdr:pic>
      <xdr:nvPicPr>
        <xdr:cNvPr id="14" name="Picture 2" descr="ti logo">
          <a:hlinkClick r:id="rId1"/>
        </xdr:cNvPr>
        <xdr:cNvPicPr/>
      </xdr:nvPicPr>
      <xdr:blipFill>
        <a:blip r:embed="rId2"/>
        <a:srcRect l="-9300" t="-59977" r="0" b="-47959"/>
        <a:stretch/>
      </xdr:blipFill>
      <xdr:spPr>
        <a:xfrm>
          <a:off x="0" y="0"/>
          <a:ext cx="2281320" cy="5655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10</xdr:col>
      <xdr:colOff>191520</xdr:colOff>
      <xdr:row>2</xdr:row>
      <xdr:rowOff>190440</xdr:rowOff>
    </xdr:to>
    <xdr:sp>
      <xdr:nvSpPr>
        <xdr:cNvPr id="15" name="TextBox 2"/>
        <xdr:cNvSpPr/>
      </xdr:nvSpPr>
      <xdr:spPr>
        <a:xfrm>
          <a:off x="0" y="0"/>
          <a:ext cx="13582440" cy="571320"/>
        </a:xfrm>
        <a:prstGeom prst="rect">
          <a:avLst/>
        </a:prstGeom>
        <a:noFill/>
        <a:ln w="0">
          <a:noFill/>
        </a:ln>
      </xdr:spPr>
      <xdr:style>
        <a:lnRef idx="0"/>
        <a:fillRef idx="0"/>
        <a:effectRef idx="0"/>
        <a:fontRef idx="minor"/>
      </xdr:style>
      <xdr:txBody>
        <a:bodyPr horzOverflow="clip" vertOverflow="clip" lIns="90000" tIns="45000" rIns="90000" bIns="45000" anchor="ctr">
          <a:noAutofit/>
        </a:bodyPr>
        <a:p>
          <a:pPr algn="ctr">
            <a:lnSpc>
              <a:spcPct val="100000"/>
            </a:lnSpc>
          </a:pPr>
          <a:r>
            <a:rPr lang="en-US" sz="1600" b="0" u="none" strike="noStrike">
              <a:solidFill>
                <a:schemeClr val="dk1"/>
              </a:solidFill>
              <a:effectLst/>
              <a:uFillTx/>
              <a:latin typeface="Arial Black"/>
            </a:rPr>
            <a:t>ADS1220 Commands</a:t>
          </a:r>
          <a:endParaRPr lang="es-CO" sz="1600" b="0" u="none" strike="noStrike">
            <a:effectLst/>
            <a:uFillTx/>
            <a:latin typeface="Times New Roman"/>
          </a:endParaRPr>
        </a:p>
        <a:p>
          <a:pPr algn="ctr">
            <a:lnSpc>
              <a:spcPct val="100000"/>
            </a:lnSpc>
          </a:pPr>
          <a:endParaRPr lang="es-CO" sz="1600" b="0" u="none" strike="noStrike">
            <a:effectLst/>
            <a:uFillTx/>
            <a:latin typeface="Times New Roman"/>
          </a:endParaRPr>
        </a:p>
      </xdr:txBody>
    </xdr:sp>
    <xdr:clientData/>
  </xdr:twoCellAnchor>
  <xdr:twoCellAnchor editAs="oneCell">
    <xdr:from>
      <xdr:col>0</xdr:col>
      <xdr:colOff>0</xdr:colOff>
      <xdr:row>0</xdr:row>
      <xdr:rowOff>0</xdr:rowOff>
    </xdr:from>
    <xdr:to>
      <xdr:col>1</xdr:col>
      <xdr:colOff>1636920</xdr:colOff>
      <xdr:row>2</xdr:row>
      <xdr:rowOff>184680</xdr:rowOff>
    </xdr:to>
    <xdr:pic>
      <xdr:nvPicPr>
        <xdr:cNvPr id="16" name="Picture 3" descr="ti logo">
          <a:hlinkClick r:id="rId1"/>
        </xdr:cNvPr>
        <xdr:cNvPicPr/>
      </xdr:nvPicPr>
      <xdr:blipFill>
        <a:blip r:embed="rId2"/>
        <a:srcRect l="-9300" t="-59977" r="0" b="-47959"/>
        <a:stretch/>
      </xdr:blipFill>
      <xdr:spPr>
        <a:xfrm>
          <a:off x="0" y="0"/>
          <a:ext cx="2281320" cy="5655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152280</xdr:rowOff>
    </xdr:from>
    <xdr:to>
      <xdr:col>1</xdr:col>
      <xdr:colOff>501840</xdr:colOff>
      <xdr:row>2</xdr:row>
      <xdr:rowOff>66240</xdr:rowOff>
    </xdr:to>
    <xdr:pic>
      <xdr:nvPicPr>
        <xdr:cNvPr id="17" name="Picture 1" descr="ti logo">
          <a:hlinkClick r:id="rId1"/>
        </xdr:cNvPr>
        <xdr:cNvPicPr/>
      </xdr:nvPicPr>
      <xdr:blipFill>
        <a:blip r:embed="rId2"/>
        <a:stretch/>
      </xdr:blipFill>
      <xdr:spPr>
        <a:xfrm>
          <a:off x="0" y="152280"/>
          <a:ext cx="2314080" cy="294840"/>
        </a:xfrm>
        <a:prstGeom prst="rect">
          <a:avLst/>
        </a:prstGeom>
        <a:noFill/>
        <a:ln w="0">
          <a:noFill/>
        </a:ln>
      </xdr:spPr>
    </xdr:pic>
    <xdr:clientData/>
  </xdr:twoCellAnchor>
  <xdr:twoCellAnchor editAs="oneCell">
    <xdr:from>
      <xdr:col>1</xdr:col>
      <xdr:colOff>200160</xdr:colOff>
      <xdr:row>0</xdr:row>
      <xdr:rowOff>114480</xdr:rowOff>
    </xdr:from>
    <xdr:to>
      <xdr:col>1</xdr:col>
      <xdr:colOff>3952800</xdr:colOff>
      <xdr:row>2</xdr:row>
      <xdr:rowOff>114840</xdr:rowOff>
    </xdr:to>
    <xdr:sp>
      <xdr:nvSpPr>
        <xdr:cNvPr id="18" name="TextBox 2"/>
        <xdr:cNvSpPr/>
      </xdr:nvSpPr>
      <xdr:spPr>
        <a:xfrm>
          <a:off x="2012400" y="114480"/>
          <a:ext cx="3752640" cy="38124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gn="ctr">
            <a:lnSpc>
              <a:spcPct val="100000"/>
            </a:lnSpc>
          </a:pPr>
          <a:r>
            <a:rPr lang="en-US" sz="1600" b="0" u="none" strike="noStrike">
              <a:solidFill>
                <a:schemeClr val="dk1"/>
              </a:solidFill>
              <a:effectLst/>
              <a:uFillTx/>
              <a:latin typeface="Arial Black"/>
            </a:rPr>
            <a:t>About this tool...</a:t>
          </a:r>
          <a:endParaRPr lang="es-CO" sz="1600" b="0" u="none" strike="noStrike">
            <a:effectLst/>
            <a:uFillTx/>
            <a:latin typeface="Times New Roman"/>
          </a:endParaRPr>
        </a:p>
      </xdr:txBody>
    </xdr:sp>
    <xdr:clientData/>
  </xdr:twoCellAnchor>
  <xdr:twoCellAnchor editAs="oneCell">
    <xdr:from>
      <xdr:col>0</xdr:col>
      <xdr:colOff>95400</xdr:colOff>
      <xdr:row>6</xdr:row>
      <xdr:rowOff>47520</xdr:rowOff>
    </xdr:from>
    <xdr:to>
      <xdr:col>10</xdr:col>
      <xdr:colOff>369360</xdr:colOff>
      <xdr:row>27</xdr:row>
      <xdr:rowOff>132840</xdr:rowOff>
    </xdr:to>
    <xdr:sp>
      <xdr:nvSpPr>
        <xdr:cNvPr id="19" name="TextBox 4"/>
        <xdr:cNvSpPr/>
      </xdr:nvSpPr>
      <xdr:spPr>
        <a:xfrm>
          <a:off x="95400" y="1190520"/>
          <a:ext cx="11229480" cy="4086000"/>
        </a:xfrm>
        <a:prstGeom prst="rect">
          <a:avLst/>
        </a:prstGeom>
        <a:solidFill>
          <a:srgbClr val="D9D9D9"/>
        </a:solidFill>
        <a:ln w="0">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000" b="1" u="none" strike="noStrike">
              <a:solidFill>
                <a:schemeClr val="dk1"/>
              </a:solidFill>
              <a:effectLst/>
              <a:uFillTx/>
              <a:latin typeface="Arial"/>
            </a:rPr>
            <a:t>LICENSE INFORMATION:</a:t>
          </a:r>
          <a:endParaRPr lang="es-CO" sz="1000" b="0" u="none" strike="noStrike">
            <a:effectLst/>
            <a:uFillTx/>
            <a:latin typeface="Times New Roman"/>
          </a:endParaRPr>
        </a:p>
        <a:p>
          <a:pPr>
            <a:lnSpc>
              <a:spcPct val="100000"/>
            </a:lnSpc>
          </a:pPr>
          <a:r>
            <a:rPr lang="en-US" sz="900" b="0" u="none" strike="noStrike">
              <a:solidFill>
                <a:schemeClr val="dk1"/>
              </a:solidFill>
              <a:effectLst/>
              <a:uFillTx/>
              <a:latin typeface="Arial"/>
            </a:rPr>
            <a:t>Copyright (c) 2022 Texas Instruments Incorporated</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All rights reserved not granted herein.</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Limited License.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Redistributions must preserve existing copyright notices and reproduce this license (including the above copyright notice and the disclaimer and (if applicable) source code license limitations below) in the documentation and/or other materials provided with the distribution</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Redistribution and use in binary form, without modification, are permitted provided that the following conditions are met:</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a:t>
          </a:r>
          <a:r>
            <a:rPr lang="en-US" sz="900" b="0" u="none" strike="noStrike">
              <a:solidFill>
                <a:schemeClr val="dk1"/>
              </a:solidFill>
              <a:effectLst/>
              <a:uFillTx/>
              <a:latin typeface="Arial"/>
            </a:rPr>
            <a:t>	</a:t>
          </a:r>
          <a:r>
            <a:rPr lang="en-US" sz="900" b="0" u="none" strike="noStrike">
              <a:solidFill>
                <a:schemeClr val="dk1"/>
              </a:solidFill>
              <a:effectLst/>
              <a:uFillTx/>
              <a:latin typeface="Arial"/>
            </a:rPr>
            <a:t>No reverse engineering, decompilation, or disassembly of this software is permitted with respect to any software provided in binary form.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a:t>
          </a:r>
          <a:r>
            <a:rPr lang="en-US" sz="900" b="0" u="none" strike="noStrike">
              <a:solidFill>
                <a:schemeClr val="dk1"/>
              </a:solidFill>
              <a:effectLst/>
              <a:uFillTx/>
              <a:latin typeface="Arial"/>
            </a:rPr>
            <a:t>	</a:t>
          </a:r>
          <a:r>
            <a:rPr lang="en-US" sz="900" b="0" u="none" strike="noStrike">
              <a:solidFill>
                <a:schemeClr val="dk1"/>
              </a:solidFill>
              <a:effectLst/>
              <a:uFillTx/>
              <a:latin typeface="Arial"/>
            </a:rPr>
            <a:t>Any redistribution and use are licensed by TI for use only with TI Devices.</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a:t>
          </a:r>
          <a:r>
            <a:rPr lang="en-US" sz="900" b="0" u="none" strike="noStrike">
              <a:solidFill>
                <a:schemeClr val="dk1"/>
              </a:solidFill>
              <a:effectLst/>
              <a:uFillTx/>
              <a:latin typeface="Arial"/>
            </a:rPr>
            <a:t>	</a:t>
          </a:r>
          <a:r>
            <a:rPr lang="en-US" sz="900" b="0" u="none" strike="noStrike">
              <a:solidFill>
                <a:schemeClr val="dk1"/>
              </a:solidFill>
              <a:effectLst/>
              <a:uFillTx/>
              <a:latin typeface="Arial"/>
            </a:rPr>
            <a:t>Nothing shall obligate TI to provide you with source code for the software licensed and provided to you in object code.</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 </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If software source code is provided to you, modification and redistribution of the source code are permitted provided that the following conditions are met:</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a:t>
          </a:r>
          <a:r>
            <a:rPr lang="en-US" sz="900" b="0" u="none" strike="noStrike">
              <a:solidFill>
                <a:schemeClr val="dk1"/>
              </a:solidFill>
              <a:effectLst/>
              <a:uFillTx/>
              <a:latin typeface="Arial"/>
            </a:rPr>
            <a:t>	</a:t>
          </a:r>
          <a:r>
            <a:rPr lang="en-US" sz="900" b="0" u="none" strike="noStrike">
              <a:solidFill>
                <a:schemeClr val="dk1"/>
              </a:solidFill>
              <a:effectLst/>
              <a:uFillTx/>
              <a:latin typeface="Arial"/>
            </a:rPr>
            <a:t>Any redistribution and use of the source code, including any resulting derivative works, are licensed by TI for use only with TI Devices.</a:t>
          </a: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a:t>
          </a:r>
          <a:r>
            <a:rPr lang="en-US" sz="900" b="0" u="none" strike="noStrike">
              <a:solidFill>
                <a:schemeClr val="dk1"/>
              </a:solidFill>
              <a:effectLst/>
              <a:uFillTx/>
              <a:latin typeface="Arial"/>
            </a:rPr>
            <a:t>	</a:t>
          </a:r>
          <a:r>
            <a:rPr lang="en-US" sz="900" b="0" u="none" strike="noStrike">
              <a:solidFill>
                <a:schemeClr val="dk1"/>
              </a:solidFill>
              <a:effectLst/>
              <a:uFillTx/>
              <a:latin typeface="Arial"/>
            </a:rPr>
            <a:t>Any redistribution and use of any object code compiled from the source code and any resulting derivative works, are licensed by TI for use only with TI Devices.</a:t>
          </a:r>
          <a:endParaRPr lang="es-CO" sz="900" b="0" u="none" strike="noStrike">
            <a:effectLst/>
            <a:uFillTx/>
            <a:latin typeface="Times New Roman"/>
          </a:endParaRPr>
        </a:p>
        <a:p>
          <a:pPr>
            <a:lnSpc>
              <a:spcPct val="100000"/>
            </a:lnSpc>
          </a:pPr>
          <a:endParaRPr lang="es-CO" sz="900" b="0" u="none" strike="noStrike">
            <a:effectLst/>
            <a:uFillTx/>
            <a:latin typeface="Times New Roman"/>
          </a:endParaRPr>
        </a:p>
        <a:p>
          <a:pPr>
            <a:lnSpc>
              <a:spcPct val="100000"/>
            </a:lnSpc>
          </a:pPr>
          <a:r>
            <a:rPr lang="en-US" sz="900" b="0" u="none" strike="noStrike">
              <a:solidFill>
                <a:schemeClr val="dk1"/>
              </a:solidFill>
              <a:effectLst/>
              <a:uFillTx/>
              <a:latin typeface="Arial"/>
            </a:rPr>
            <a:t>Neither the name of Texas Instruments Incorporated nor the names of its suppliers may be used to endorse or promote products derived from this software without specific prior written permission.</a:t>
          </a:r>
          <a:endParaRPr lang="es-CO" sz="900" b="0" u="none" strike="noStrike">
            <a:effectLst/>
            <a:uFillTx/>
            <a:latin typeface="Times New Roman"/>
          </a:endParaRPr>
        </a:p>
        <a:p>
          <a:pPr defTabSz="914400">
            <a:lnSpc>
              <a:spcPct val="100000"/>
            </a:lnSpc>
            <a:tabLst>
              <a:tab pos="0" algn="l"/>
            </a:tabLst>
          </a:pPr>
          <a:endParaRPr lang="es-CO" sz="1000" b="0" u="none" strike="noStrike">
            <a:effectLst/>
            <a:uFillTx/>
            <a:latin typeface="Times New Roman"/>
          </a:endParaRPr>
        </a:p>
        <a:p>
          <a:pPr defTabSz="914400">
            <a:lnSpc>
              <a:spcPct val="100000"/>
            </a:lnSpc>
            <a:tabLst>
              <a:tab pos="0" algn="l"/>
            </a:tabLst>
          </a:pPr>
          <a:r>
            <a:rPr lang="en-US" sz="1000" b="1" u="none" strike="noStrike">
              <a:solidFill>
                <a:schemeClr val="dk1"/>
              </a:solidFill>
              <a:effectLst/>
              <a:uFillTx/>
              <a:latin typeface="Arial"/>
            </a:rPr>
            <a:t>DISCLAMER:</a:t>
          </a:r>
          <a:endParaRPr lang="es-CO" sz="1000" b="0" u="none" strike="noStrike">
            <a:effectLst/>
            <a:uFillTx/>
            <a:latin typeface="Times New Roman"/>
          </a:endParaRPr>
        </a:p>
        <a:p>
          <a:pPr defTabSz="914400">
            <a:lnSpc>
              <a:spcPct val="100000"/>
            </a:lnSpc>
            <a:tabLst>
              <a:tab pos="0" algn="l"/>
            </a:tabLst>
          </a:pPr>
          <a:r>
            <a:rPr lang="en-US" sz="800" b="0" u="none" strike="noStrike">
              <a:solidFill>
                <a:schemeClr val="dk1"/>
              </a:solidFill>
              <a:effectLst/>
              <a:uFillTx/>
              <a:latin typeface="Arial"/>
            </a:rPr>
            <a:t>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a:t>
          </a:r>
          <a:endParaRPr lang="es-CO" sz="800" b="0" u="none" strike="noStrike">
            <a:effectLst/>
            <a:uFillTx/>
            <a:latin typeface="Times New Roman"/>
          </a:endParaRPr>
        </a:p>
      </xdr:txBody>
    </xdr:sp>
    <xdr:clientData/>
  </xdr:twoCellAnchor>
  <xdr:twoCellAnchor editAs="oneCell">
    <xdr:from>
      <xdr:col>0</xdr:col>
      <xdr:colOff>95400</xdr:colOff>
      <xdr:row>29</xdr:row>
      <xdr:rowOff>47520</xdr:rowOff>
    </xdr:from>
    <xdr:to>
      <xdr:col>10</xdr:col>
      <xdr:colOff>369360</xdr:colOff>
      <xdr:row>33</xdr:row>
      <xdr:rowOff>94680</xdr:rowOff>
    </xdr:to>
    <xdr:sp>
      <xdr:nvSpPr>
        <xdr:cNvPr id="20" name="TextBox 5"/>
        <xdr:cNvSpPr/>
      </xdr:nvSpPr>
      <xdr:spPr>
        <a:xfrm>
          <a:off x="95400" y="5572080"/>
          <a:ext cx="11229480" cy="809280"/>
        </a:xfrm>
        <a:prstGeom prst="rect">
          <a:avLst/>
        </a:prstGeom>
        <a:solidFill>
          <a:srgbClr val="F2F2F2"/>
        </a:solidFill>
        <a:ln w="0">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100" b="1" u="none" strike="noStrike">
              <a:solidFill>
                <a:schemeClr val="dk1"/>
              </a:solidFill>
              <a:effectLst/>
              <a:uFillTx/>
              <a:latin typeface="Calibri"/>
            </a:rPr>
            <a:t>IMPORTANT:   </a:t>
          </a:r>
          <a:endParaRPr lang="es-CO" sz="1100" b="0" u="none" strike="noStrike">
            <a:effectLst/>
            <a:uFillTx/>
            <a:latin typeface="Times New Roman"/>
          </a:endParaRPr>
        </a:p>
        <a:p>
          <a:pPr>
            <a:lnSpc>
              <a:spcPct val="100000"/>
            </a:lnSpc>
          </a:pPr>
          <a:r>
            <a:rPr lang="en-US" sz="1100" b="0" u="none" strike="noStrike">
              <a:solidFill>
                <a:schemeClr val="dk1"/>
              </a:solidFill>
              <a:effectLst/>
              <a:uFillTx/>
              <a:latin typeface="Calibri"/>
            </a:rPr>
            <a:t>1.  Do not delete this worksheet!</a:t>
          </a:r>
          <a:endParaRPr lang="es-CO" sz="1100" b="0" u="none" strike="noStrike">
            <a:effectLst/>
            <a:uFillTx/>
            <a:latin typeface="Times New Roman"/>
          </a:endParaRPr>
        </a:p>
        <a:p>
          <a:pPr>
            <a:lnSpc>
              <a:spcPct val="100000"/>
            </a:lnSpc>
          </a:pPr>
          <a:r>
            <a:rPr lang="en-US" sz="1100" b="0" u="none" strike="noStrike">
              <a:solidFill>
                <a:schemeClr val="dk1"/>
              </a:solidFill>
              <a:effectLst/>
              <a:uFillTx/>
              <a:latin typeface="Calibri"/>
            </a:rPr>
            <a:t>2.  Refer to the help tab for additional device information and support.</a:t>
          </a:r>
          <a:endParaRPr lang="es-CO" sz="1100" b="0" u="none" strike="noStrike">
            <a:effectLst/>
            <a:uFillTx/>
            <a:latin typeface="Times New Roman"/>
          </a:endParaRPr>
        </a:p>
        <a:p>
          <a:pPr>
            <a:lnSpc>
              <a:spcPct val="100000"/>
            </a:lnSpc>
          </a:pPr>
          <a:r>
            <a:rPr lang="en-US" sz="1100" b="0" u="none" strike="noStrike">
              <a:solidFill>
                <a:schemeClr val="dk1"/>
              </a:solidFill>
              <a:effectLst/>
              <a:uFillTx/>
              <a:latin typeface="Calibri"/>
            </a:rPr>
            <a:t>3.  Redistributions must retain the above copyright and the following disclaimer.</a:t>
          </a:r>
          <a:endParaRPr lang="es-CO" sz="1100" b="0" u="none" strike="noStrike">
            <a:effectLst/>
            <a:uFillTx/>
            <a:latin typeface="Times New Roman"/>
          </a:endParaRPr>
        </a:p>
        <a:p>
          <a:pPr>
            <a:lnSpc>
              <a:spcPct val="100000"/>
            </a:lnSpc>
          </a:pPr>
          <a:endParaRPr lang="es-CO" sz="800" b="0" u="none" strike="noStrike">
            <a:effectLst/>
            <a:uFillTx/>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85680</xdr:colOff>
      <xdr:row>0</xdr:row>
      <xdr:rowOff>152280</xdr:rowOff>
    </xdr:from>
    <xdr:to>
      <xdr:col>4</xdr:col>
      <xdr:colOff>93960</xdr:colOff>
      <xdr:row>2</xdr:row>
      <xdr:rowOff>66240</xdr:rowOff>
    </xdr:to>
    <xdr:pic>
      <xdr:nvPicPr>
        <xdr:cNvPr id="21" name="Picture 1" descr="ti logo">
          <a:hlinkClick r:id="rId1"/>
        </xdr:cNvPr>
        <xdr:cNvPicPr/>
      </xdr:nvPicPr>
      <xdr:blipFill>
        <a:blip r:embed="rId2"/>
        <a:stretch/>
      </xdr:blipFill>
      <xdr:spPr>
        <a:xfrm>
          <a:off x="85680" y="152280"/>
          <a:ext cx="2314080" cy="294840"/>
        </a:xfrm>
        <a:prstGeom prst="rect">
          <a:avLst/>
        </a:prstGeom>
        <a:noFill/>
        <a:ln w="0">
          <a:noFill/>
        </a:ln>
      </xdr:spPr>
    </xdr:pic>
    <xdr:clientData/>
  </xdr:twoCellAnchor>
  <xdr:twoCellAnchor editAs="oneCell">
    <xdr:from>
      <xdr:col>6</xdr:col>
      <xdr:colOff>561960</xdr:colOff>
      <xdr:row>0</xdr:row>
      <xdr:rowOff>85680</xdr:rowOff>
    </xdr:from>
    <xdr:to>
      <xdr:col>12</xdr:col>
      <xdr:colOff>447480</xdr:colOff>
      <xdr:row>2</xdr:row>
      <xdr:rowOff>86040</xdr:rowOff>
    </xdr:to>
    <xdr:sp>
      <xdr:nvSpPr>
        <xdr:cNvPr id="22" name="TextBox 2"/>
        <xdr:cNvSpPr/>
      </xdr:nvSpPr>
      <xdr:spPr>
        <a:xfrm>
          <a:off x="4156560" y="85680"/>
          <a:ext cx="3752640" cy="38124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gn="ctr">
            <a:lnSpc>
              <a:spcPct val="100000"/>
            </a:lnSpc>
          </a:pPr>
          <a:r>
            <a:rPr lang="en-US" sz="1600" b="0" u="none" strike="noStrike">
              <a:solidFill>
                <a:schemeClr val="dk1"/>
              </a:solidFill>
              <a:effectLst/>
              <a:uFillTx/>
              <a:latin typeface="Arial Black"/>
            </a:rPr>
            <a:t>How to use this tool...</a:t>
          </a:r>
          <a:endParaRPr lang="es-CO" sz="1600" b="0" u="none" strike="noStrike">
            <a:effectLst/>
            <a:uFillTx/>
            <a:latin typeface="Times New Roman"/>
          </a:endParaRPr>
        </a:p>
      </xdr:txBody>
    </xdr:sp>
    <xdr:clientData/>
  </xdr:twoCellAnchor>
  <xdr:twoCellAnchor editAs="oneCell">
    <xdr:from>
      <xdr:col>0</xdr:col>
      <xdr:colOff>47520</xdr:colOff>
      <xdr:row>5</xdr:row>
      <xdr:rowOff>76320</xdr:rowOff>
    </xdr:from>
    <xdr:to>
      <xdr:col>0</xdr:col>
      <xdr:colOff>231840</xdr:colOff>
      <xdr:row>6</xdr:row>
      <xdr:rowOff>150120</xdr:rowOff>
    </xdr:to>
    <xdr:sp>
      <xdr:nvSpPr>
        <xdr:cNvPr id="23" name="TextBox 3">
          <a:hlinkClick r:id="rId3"/>
        </xdr:cNvPr>
        <xdr:cNvSpPr/>
      </xdr:nvSpPr>
      <xdr:spPr>
        <a:xfrm>
          <a:off x="47520" y="1028880"/>
          <a:ext cx="184320" cy="264240"/>
        </a:xfrm>
        <a:prstGeom prst="rect">
          <a:avLst/>
        </a:prstGeom>
        <a:noFill/>
        <a:ln w="0">
          <a:noFill/>
        </a:ln>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C:/Users/a0282860/AppData/Local/Temp/OneNote/14.0/NT/15-2/ADS1262-3%20Calculator.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C:/Users/a0226282/Desktop/Del%20Sig/Applications/Calculators/Existing%20calculators/ADS1261-60%20Design%20Calculator.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C:/Users/a0226282/Desktop/Del%20Sig/Applications/Calculators/Existing%20calculators/ADS1x4S0x%20Design%20Calculator.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able of Contents "/>
      <sheetName val="Register Map"/>
      <sheetName val="PGA1 Input Range"/>
      <sheetName val="PGA2 Input Range"/>
      <sheetName val="ADC1 Digital Filter"/>
      <sheetName val="ADC2 SINC Filter"/>
      <sheetName val="ADC1 Code Conversions"/>
      <sheetName val="ADC2 Code Conversions"/>
      <sheetName val="CRC-CHKSUM"/>
      <sheetName val="ADC1 Noise Table"/>
      <sheetName val="System Noise Est."/>
      <sheetName val="About"/>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able of Contents "/>
      <sheetName val="Common-Mode Range"/>
      <sheetName val="Code Conversions"/>
      <sheetName val="Register Settings"/>
      <sheetName val="Digital Filter"/>
      <sheetName val="STATUS"/>
      <sheetName val="CRC"/>
      <sheetName val="About"/>
      <sheetName val="Help"/>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able of Contents "/>
      <sheetName val="Register Map"/>
      <sheetName val="(RegMap)"/>
      <sheetName val="(CM Range)"/>
      <sheetName val="Digital Filter"/>
      <sheetName val="Common-Mode Range"/>
      <sheetName val="Code Conversions"/>
      <sheetName val="CRC"/>
      <sheetName val="Calibration"/>
      <sheetName val="Noise Table"/>
      <sheetName val="About"/>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hyperlink" Target="http://www.ti.com/corp/docs/legal/copyright.shtml" TargetMode="External"/><Relationship Id="rId2"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hyperlink" Target="http://e2e.ti.com/support/data_converters/precision_data_converters/" TargetMode="External"/><Relationship Id="rId2" Type="http://schemas.openxmlformats.org/officeDocument/2006/relationships/hyperlink" Target="https://www.ti.com/product/ADS1220" TargetMode="External"/><Relationship Id="rId3"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
  <sheetViews>
    <sheetView showFormulas="false" showGridLines="false" showRowColHeaders="false" showZeros="true" rightToLeft="false" tabSelected="false" showOutlineSymbols="true" defaultGridColor="true" view="normal" topLeftCell="A1" colorId="64" zoomScale="75" zoomScaleNormal="75" zoomScalePageLayoutView="100" workbookViewId="0">
      <selection pane="topLeft" activeCell="C9" activeCellId="0" sqref="C9"/>
    </sheetView>
  </sheetViews>
  <sheetFormatPr defaultColWidth="9.1484375" defaultRowHeight="15" customHeight="false" zeroHeight="false" outlineLevelRow="0" outlineLevelCol="0"/>
  <cols>
    <col collapsed="false" customWidth="false" hidden="false" outlineLevel="0" max="4" min="1" style="1" width="9.14"/>
    <col collapsed="false" customWidth="true" hidden="false" outlineLevel="0" max="5" min="5" style="1" width="13.86"/>
    <col collapsed="false" customWidth="false" hidden="false" outlineLevel="0" max="19" min="6" style="2" width="9.14"/>
    <col collapsed="false" customWidth="true" hidden="false" outlineLevel="0" max="20" min="20" style="2" width="10.42"/>
    <col collapsed="false" customWidth="true" hidden="false" outlineLevel="0" max="21" min="21" style="2" width="9.42"/>
    <col collapsed="false" customWidth="true" hidden="false" outlineLevel="0" max="22" min="22" style="2" width="5.42"/>
    <col collapsed="false" customWidth="false" hidden="false" outlineLevel="0" max="16384" min="23" style="2" width="9.14"/>
  </cols>
  <sheetData>
    <row r="1" customFormat="false" ht="15" hidden="false" customHeight="false" outlineLevel="0" collapsed="false">
      <c r="A1" s="3"/>
      <c r="B1" s="4"/>
      <c r="C1" s="4"/>
      <c r="D1" s="3"/>
      <c r="E1" s="3"/>
      <c r="F1" s="5"/>
      <c r="G1" s="5"/>
      <c r="H1" s="5"/>
      <c r="I1" s="5"/>
      <c r="J1" s="5"/>
      <c r="K1" s="5"/>
      <c r="L1" s="5"/>
      <c r="M1" s="5"/>
      <c r="N1" s="5"/>
      <c r="O1" s="5"/>
      <c r="P1" s="5"/>
      <c r="Q1" s="5"/>
      <c r="R1" s="5"/>
      <c r="S1" s="5"/>
      <c r="T1" s="5"/>
      <c r="U1" s="5"/>
    </row>
    <row r="4" customFormat="false" ht="15" hidden="false" customHeight="false" outlineLevel="0" collapsed="false">
      <c r="A4" s="6"/>
      <c r="B4" s="6"/>
      <c r="C4" s="6"/>
      <c r="D4" s="6"/>
      <c r="E4" s="6"/>
      <c r="F4" s="6"/>
      <c r="G4" s="6"/>
      <c r="H4" s="6"/>
      <c r="I4" s="6"/>
      <c r="J4" s="6"/>
      <c r="K4" s="6"/>
      <c r="L4" s="6"/>
      <c r="M4" s="6"/>
      <c r="N4" s="6"/>
      <c r="O4" s="6"/>
      <c r="P4" s="6"/>
      <c r="Q4" s="6"/>
      <c r="R4" s="6"/>
      <c r="S4" s="6"/>
      <c r="T4" s="6"/>
      <c r="U4" s="6"/>
      <c r="V4" s="6"/>
    </row>
    <row r="7" customFormat="false" ht="15" hidden="false" customHeight="false" outlineLevel="0" collapsed="false">
      <c r="C7" s="7" t="s">
        <v>0</v>
      </c>
      <c r="D7" s="7"/>
      <c r="E7" s="7"/>
      <c r="F7" s="1"/>
      <c r="G7" s="8" t="s">
        <v>1</v>
      </c>
      <c r="H7" s="8"/>
      <c r="I7" s="9"/>
      <c r="J7" s="9"/>
      <c r="K7" s="9"/>
      <c r="L7" s="9"/>
      <c r="M7" s="9"/>
      <c r="N7" s="9"/>
      <c r="O7" s="9"/>
      <c r="P7" s="9"/>
      <c r="Q7" s="1"/>
    </row>
    <row r="8" customFormat="false" ht="15" hidden="false" customHeight="false" outlineLevel="0" collapsed="false">
      <c r="F8" s="1"/>
      <c r="G8" s="3"/>
      <c r="H8" s="1"/>
      <c r="I8" s="1"/>
      <c r="J8" s="1"/>
      <c r="K8" s="1"/>
      <c r="L8" s="1"/>
      <c r="M8" s="1"/>
      <c r="N8" s="1"/>
      <c r="O8" s="1"/>
      <c r="P8" s="1"/>
      <c r="Q8" s="1"/>
    </row>
    <row r="9" customFormat="false" ht="15" hidden="false" customHeight="false" outlineLevel="0" collapsed="false">
      <c r="C9" s="10" t="s">
        <v>2</v>
      </c>
      <c r="D9" s="10"/>
      <c r="E9" s="10"/>
      <c r="F9" s="1"/>
      <c r="G9" s="11" t="s">
        <v>3</v>
      </c>
      <c r="H9" s="11"/>
      <c r="I9" s="11"/>
      <c r="J9" s="11"/>
      <c r="K9" s="11"/>
      <c r="L9" s="11"/>
      <c r="M9" s="11"/>
      <c r="N9" s="11"/>
      <c r="O9" s="11"/>
      <c r="P9" s="11"/>
      <c r="Q9" s="1"/>
    </row>
    <row r="10" customFormat="false" ht="15" hidden="false" customHeight="false" outlineLevel="0" collapsed="false">
      <c r="C10" s="12"/>
      <c r="D10" s="12"/>
      <c r="E10" s="12"/>
      <c r="F10" s="1"/>
      <c r="G10" s="3"/>
      <c r="H10" s="1"/>
      <c r="I10" s="1"/>
      <c r="J10" s="1"/>
      <c r="K10" s="1"/>
      <c r="L10" s="1"/>
      <c r="M10" s="1"/>
      <c r="N10" s="1"/>
      <c r="O10" s="1"/>
      <c r="P10" s="1"/>
      <c r="Q10" s="1"/>
    </row>
    <row r="11" customFormat="false" ht="15" hidden="false" customHeight="false" outlineLevel="0" collapsed="false">
      <c r="C11" s="10" t="s">
        <v>4</v>
      </c>
      <c r="D11" s="10"/>
      <c r="E11" s="10"/>
      <c r="F11" s="1"/>
      <c r="G11" s="11" t="s">
        <v>5</v>
      </c>
      <c r="H11" s="11"/>
      <c r="I11" s="11"/>
      <c r="J11" s="11"/>
      <c r="K11" s="11"/>
      <c r="L11" s="11"/>
      <c r="M11" s="11"/>
      <c r="N11" s="11"/>
      <c r="O11" s="11"/>
      <c r="P11" s="11"/>
      <c r="Q11" s="1"/>
    </row>
    <row r="12" customFormat="false" ht="15" hidden="false" customHeight="false" outlineLevel="0" collapsed="false">
      <c r="C12" s="13"/>
      <c r="D12" s="13"/>
      <c r="E12" s="13"/>
      <c r="F12" s="1"/>
      <c r="G12" s="14"/>
      <c r="H12" s="15"/>
      <c r="I12" s="15"/>
      <c r="J12" s="15"/>
      <c r="K12" s="15"/>
      <c r="L12" s="15"/>
      <c r="M12" s="15"/>
      <c r="N12" s="15"/>
      <c r="O12" s="15"/>
      <c r="P12" s="15"/>
      <c r="Q12" s="1"/>
    </row>
    <row r="13" customFormat="false" ht="15" hidden="false" customHeight="false" outlineLevel="0" collapsed="false">
      <c r="C13" s="16" t="s">
        <v>6</v>
      </c>
      <c r="D13" s="16"/>
      <c r="E13" s="16"/>
      <c r="F13" s="1"/>
      <c r="G13" s="11" t="s">
        <v>7</v>
      </c>
      <c r="H13" s="11"/>
      <c r="I13" s="11"/>
      <c r="J13" s="11"/>
      <c r="K13" s="11"/>
      <c r="L13" s="11"/>
      <c r="M13" s="11"/>
      <c r="N13" s="11"/>
      <c r="O13" s="11"/>
      <c r="P13" s="11"/>
      <c r="Q13" s="1"/>
    </row>
    <row r="14" customFormat="false" ht="15" hidden="false" customHeight="false" outlineLevel="0" collapsed="false">
      <c r="C14" s="13"/>
      <c r="D14" s="13"/>
      <c r="E14" s="13"/>
      <c r="F14" s="1"/>
      <c r="G14" s="14"/>
      <c r="H14" s="15"/>
      <c r="I14" s="15"/>
      <c r="J14" s="15"/>
      <c r="K14" s="15"/>
      <c r="L14" s="15"/>
      <c r="M14" s="15"/>
      <c r="N14" s="15"/>
      <c r="O14" s="15"/>
      <c r="P14" s="15"/>
      <c r="Q14" s="1"/>
    </row>
    <row r="15" customFormat="false" ht="15" hidden="false" customHeight="false" outlineLevel="0" collapsed="false">
      <c r="C15" s="10" t="s">
        <v>8</v>
      </c>
      <c r="D15" s="10"/>
      <c r="E15" s="10"/>
      <c r="F15" s="1"/>
      <c r="G15" s="11" t="s">
        <v>9</v>
      </c>
      <c r="H15" s="11"/>
      <c r="I15" s="11"/>
      <c r="J15" s="11"/>
      <c r="K15" s="11"/>
      <c r="L15" s="11"/>
      <c r="M15" s="11"/>
      <c r="N15" s="11"/>
      <c r="O15" s="11"/>
      <c r="P15" s="11"/>
      <c r="Q15" s="1"/>
    </row>
    <row r="16" customFormat="false" ht="15" hidden="false" customHeight="false" outlineLevel="0" collapsed="false">
      <c r="C16" s="12"/>
      <c r="D16" s="12"/>
      <c r="E16" s="12"/>
      <c r="G16" s="17"/>
      <c r="H16" s="15"/>
      <c r="I16" s="15"/>
      <c r="J16" s="15"/>
      <c r="K16" s="15"/>
      <c r="L16" s="15"/>
      <c r="M16" s="15"/>
      <c r="N16" s="15"/>
      <c r="O16" s="15"/>
      <c r="P16" s="15"/>
      <c r="Q16" s="1"/>
    </row>
    <row r="17" customFormat="false" ht="15" hidden="false" customHeight="false" outlineLevel="0" collapsed="false">
      <c r="C17" s="10" t="s">
        <v>10</v>
      </c>
      <c r="D17" s="10"/>
      <c r="E17" s="10"/>
      <c r="F17" s="1"/>
      <c r="G17" s="11" t="s">
        <v>11</v>
      </c>
      <c r="H17" s="11"/>
      <c r="I17" s="11"/>
      <c r="J17" s="11"/>
      <c r="K17" s="11"/>
      <c r="L17" s="11"/>
      <c r="M17" s="11"/>
      <c r="N17" s="11"/>
      <c r="O17" s="11"/>
      <c r="P17" s="11"/>
      <c r="Q17" s="1"/>
    </row>
    <row r="18" customFormat="false" ht="15" hidden="false" customHeight="false" outlineLevel="0" collapsed="false">
      <c r="C18" s="13"/>
      <c r="D18" s="13"/>
      <c r="E18" s="13"/>
      <c r="F18" s="1"/>
      <c r="G18" s="18"/>
      <c r="H18" s="15"/>
      <c r="I18" s="15"/>
      <c r="J18" s="15"/>
      <c r="K18" s="15"/>
      <c r="L18" s="15"/>
      <c r="M18" s="15"/>
      <c r="N18" s="15"/>
      <c r="O18" s="15"/>
      <c r="P18" s="15"/>
      <c r="Q18" s="1"/>
    </row>
    <row r="19" customFormat="false" ht="15" hidden="false" customHeight="false" outlineLevel="0" collapsed="false">
      <c r="C19" s="10" t="s">
        <v>12</v>
      </c>
      <c r="D19" s="10"/>
      <c r="E19" s="10"/>
      <c r="F19" s="1"/>
      <c r="G19" s="11" t="s">
        <v>13</v>
      </c>
      <c r="H19" s="11"/>
      <c r="I19" s="11"/>
      <c r="J19" s="11"/>
      <c r="K19" s="11"/>
      <c r="L19" s="11"/>
      <c r="M19" s="11"/>
      <c r="N19" s="11"/>
      <c r="O19" s="11"/>
      <c r="P19" s="11"/>
      <c r="Q19" s="19"/>
    </row>
    <row r="20" customFormat="false" ht="15" hidden="false" customHeight="false" outlineLevel="0" collapsed="false">
      <c r="C20" s="13"/>
      <c r="D20" s="13"/>
      <c r="E20" s="13"/>
      <c r="F20" s="1"/>
      <c r="G20" s="18"/>
      <c r="H20" s="15"/>
      <c r="I20" s="15"/>
      <c r="J20" s="15"/>
      <c r="K20" s="15"/>
      <c r="L20" s="15"/>
      <c r="M20" s="15"/>
      <c r="N20" s="15"/>
      <c r="O20" s="15"/>
      <c r="P20" s="15"/>
      <c r="Q20" s="1"/>
    </row>
    <row r="21" customFormat="false" ht="15" hidden="false" customHeight="false" outlineLevel="0" collapsed="false">
      <c r="C21" s="20" t="s">
        <v>14</v>
      </c>
      <c r="D21" s="20"/>
      <c r="E21" s="20"/>
      <c r="F21" s="1"/>
      <c r="G21" s="11" t="s">
        <v>15</v>
      </c>
      <c r="H21" s="11"/>
      <c r="I21" s="11"/>
      <c r="J21" s="11"/>
      <c r="K21" s="11"/>
      <c r="L21" s="11"/>
      <c r="M21" s="11"/>
      <c r="N21" s="11"/>
      <c r="O21" s="11"/>
      <c r="P21" s="11"/>
      <c r="Q21" s="1"/>
    </row>
  </sheetData>
  <sheetProtection sheet="true" objects="true" scenarios="true" selectLockedCells="true"/>
  <mergeCells count="17">
    <mergeCell ref="B1:C1"/>
    <mergeCell ref="C7:E7"/>
    <mergeCell ref="G7:H7"/>
    <mergeCell ref="C9:E9"/>
    <mergeCell ref="G9:P9"/>
    <mergeCell ref="C11:E11"/>
    <mergeCell ref="G11:P11"/>
    <mergeCell ref="C13:E13"/>
    <mergeCell ref="G13:P13"/>
    <mergeCell ref="C15:E15"/>
    <mergeCell ref="G15:P15"/>
    <mergeCell ref="C17:E17"/>
    <mergeCell ref="G17:P17"/>
    <mergeCell ref="C19:E19"/>
    <mergeCell ref="G19:P19"/>
    <mergeCell ref="C21:E21"/>
    <mergeCell ref="G21:P21"/>
  </mergeCells>
  <hyperlinks>
    <hyperlink ref="C9" location="'Register Map'!A1" display="Register Map"/>
    <hyperlink ref="C11" location="'PGA Common-Mode Range'!A1" display="PGA Common-Mode Range"/>
    <hyperlink ref="C13" location="'Code-to-Voltage Conversion'!A1" display="Code-to-Voltage Conversion"/>
    <hyperlink ref="C15" location="'Code-to-Temperature Conversion'!A1" display="Code-to-Temperature Conversion"/>
    <hyperlink ref="C17" location="Commands!A1" display="Commands"/>
    <hyperlink ref="C19" location="About!L5" display="About"/>
    <hyperlink ref="C21" location="Help!R5" display="Help"/>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1"/>
  <sheetViews>
    <sheetView showFormulas="false" showGridLines="false" showRowColHeaders="false" showZeros="true" rightToLeft="false" tabSelected="false" showOutlineSymbols="true" defaultGridColor="true" view="normal" topLeftCell="A7" colorId="64" zoomScale="75" zoomScaleNormal="75" zoomScalePageLayoutView="100" workbookViewId="0">
      <selection pane="topLeft" activeCell="E33" activeCellId="0" sqref="E33"/>
    </sheetView>
  </sheetViews>
  <sheetFormatPr defaultColWidth="9.1484375" defaultRowHeight="15" customHeight="false" zeroHeight="false" outlineLevelRow="0" outlineLevelCol="0"/>
  <cols>
    <col collapsed="false" customWidth="true" hidden="false" outlineLevel="0" max="1" min="1" style="21" width="2"/>
    <col collapsed="false" customWidth="true" hidden="false" outlineLevel="0" max="2" min="2" style="21" width="8.15"/>
    <col collapsed="false" customWidth="true" hidden="false" outlineLevel="0" max="3" min="3" style="21" width="6.85"/>
    <col collapsed="false" customWidth="true" hidden="false" outlineLevel="0" max="4" min="4" style="21" width="7.42"/>
    <col collapsed="false" customWidth="true" hidden="false" outlineLevel="0" max="8" min="5" style="21" width="19.42"/>
    <col collapsed="false" customWidth="true" hidden="false" outlineLevel="0" max="9" min="9" style="21" width="40.57"/>
    <col collapsed="false" customWidth="true" hidden="false" outlineLevel="0" max="10" min="10" style="21" width="19.42"/>
    <col collapsed="false" customWidth="true" hidden="false" outlineLevel="0" max="11" min="11" style="21" width="26.29"/>
    <col collapsed="false" customWidth="true" hidden="false" outlineLevel="0" max="12" min="12" style="21" width="17.71"/>
    <col collapsed="false" customWidth="true" hidden="false" outlineLevel="0" max="13" min="13" style="21" width="6.29"/>
    <col collapsed="false" customWidth="true" hidden="false" outlineLevel="0" max="14" min="14" style="21" width="2"/>
    <col collapsed="false" customWidth="true" hidden="false" outlineLevel="0" max="16" min="15" style="21" width="13.71"/>
    <col collapsed="false" customWidth="true" hidden="false" outlineLevel="0" max="17" min="17" style="22" width="24"/>
    <col collapsed="false" customWidth="false" hidden="false" outlineLevel="0" max="18" min="18" style="22" width="9.14"/>
    <col collapsed="false" customWidth="false" hidden="false" outlineLevel="0" max="16384" min="19" style="21" width="9.14"/>
  </cols>
  <sheetData>
    <row r="1" customFormat="false" ht="15" hidden="false" customHeight="false" outlineLevel="0" collapsed="false">
      <c r="A1" s="23"/>
      <c r="B1" s="23"/>
      <c r="C1" s="23"/>
      <c r="D1" s="23"/>
      <c r="E1" s="23"/>
      <c r="F1" s="23"/>
      <c r="G1" s="23"/>
      <c r="H1" s="23"/>
      <c r="I1" s="23"/>
      <c r="J1" s="23"/>
      <c r="K1" s="23"/>
      <c r="L1" s="23"/>
      <c r="M1" s="23"/>
      <c r="N1" s="23"/>
      <c r="O1" s="23"/>
      <c r="P1" s="23"/>
      <c r="Q1" s="21"/>
    </row>
    <row r="2" customFormat="false" ht="15" hidden="false" customHeight="false" outlineLevel="0" collapsed="false">
      <c r="A2" s="23"/>
      <c r="B2" s="23"/>
      <c r="C2" s="23"/>
      <c r="D2" s="23"/>
      <c r="E2" s="23"/>
      <c r="F2" s="23"/>
      <c r="G2" s="23"/>
      <c r="H2" s="23"/>
      <c r="I2" s="23"/>
      <c r="J2" s="23"/>
      <c r="K2" s="23"/>
      <c r="L2" s="23"/>
      <c r="M2" s="23"/>
      <c r="N2" s="23"/>
      <c r="O2" s="23"/>
      <c r="P2" s="23"/>
      <c r="Q2" s="21"/>
    </row>
    <row r="3" customFormat="false" ht="15" hidden="false" customHeight="false" outlineLevel="0" collapsed="false">
      <c r="A3" s="23"/>
      <c r="B3" s="23"/>
      <c r="C3" s="23"/>
      <c r="D3" s="23"/>
      <c r="E3" s="23"/>
      <c r="F3" s="23"/>
      <c r="G3" s="23"/>
      <c r="H3" s="23"/>
      <c r="I3" s="23"/>
      <c r="J3" s="23"/>
      <c r="K3" s="23"/>
      <c r="L3" s="23"/>
      <c r="M3" s="23"/>
      <c r="N3" s="23"/>
      <c r="O3" s="23"/>
      <c r="P3" s="23"/>
      <c r="Q3" s="21"/>
    </row>
    <row r="4" customFormat="false" ht="15" hidden="false" customHeight="true" outlineLevel="0" collapsed="false">
      <c r="A4" s="24"/>
      <c r="B4" s="24"/>
      <c r="C4" s="24"/>
      <c r="D4" s="24"/>
      <c r="E4" s="24"/>
      <c r="F4" s="24"/>
      <c r="G4" s="24"/>
      <c r="H4" s="24"/>
      <c r="I4" s="24"/>
      <c r="J4" s="24"/>
      <c r="K4" s="24"/>
      <c r="L4" s="24"/>
      <c r="M4" s="24"/>
      <c r="N4" s="24"/>
      <c r="O4" s="24"/>
      <c r="P4" s="24"/>
    </row>
    <row r="5" customFormat="false" ht="15" hidden="false" customHeight="false" outlineLevel="0" collapsed="false">
      <c r="A5" s="22"/>
      <c r="B5" s="25"/>
      <c r="C5" s="25"/>
      <c r="D5" s="25"/>
      <c r="E5" s="25"/>
      <c r="F5" s="25"/>
      <c r="G5" s="25"/>
      <c r="H5" s="25"/>
      <c r="I5" s="25"/>
      <c r="J5" s="25"/>
      <c r="K5" s="25"/>
      <c r="L5" s="25"/>
      <c r="O5" s="26" t="s">
        <v>16</v>
      </c>
      <c r="P5" s="26"/>
      <c r="Q5" s="25"/>
    </row>
    <row r="6" customFormat="false" ht="15" hidden="false" customHeight="false" outlineLevel="0" collapsed="false">
      <c r="A6" s="22"/>
      <c r="B6" s="25"/>
      <c r="C6" s="25"/>
      <c r="D6" s="25"/>
      <c r="E6" s="25"/>
      <c r="F6" s="25"/>
      <c r="G6" s="25"/>
      <c r="H6" s="25"/>
      <c r="I6" s="25"/>
      <c r="J6" s="25"/>
      <c r="K6" s="25"/>
      <c r="L6" s="25"/>
      <c r="O6" s="27"/>
      <c r="P6" s="27"/>
      <c r="Q6" s="25"/>
    </row>
    <row r="7" customFormat="false" ht="15" hidden="false" customHeight="false" outlineLevel="0" collapsed="false">
      <c r="A7" s="22"/>
      <c r="B7" s="25"/>
      <c r="C7" s="25"/>
      <c r="D7" s="25"/>
      <c r="E7" s="25"/>
      <c r="F7" s="25"/>
      <c r="G7" s="25"/>
      <c r="H7" s="25"/>
      <c r="I7" s="25"/>
      <c r="J7" s="25"/>
      <c r="K7" s="25"/>
      <c r="L7" s="25"/>
      <c r="P7" s="28" t="s">
        <v>17</v>
      </c>
      <c r="Q7" s="25"/>
    </row>
    <row r="8" customFormat="false" ht="15" hidden="false" customHeight="false" outlineLevel="0" collapsed="false">
      <c r="A8" s="22"/>
      <c r="B8" s="25"/>
      <c r="C8" s="25"/>
      <c r="D8" s="25"/>
      <c r="E8" s="25"/>
      <c r="F8" s="25"/>
      <c r="G8" s="25"/>
      <c r="H8" s="25"/>
      <c r="I8" s="25"/>
      <c r="J8" s="25"/>
      <c r="K8" s="25"/>
      <c r="L8" s="25"/>
      <c r="O8" s="29" t="s">
        <v>18</v>
      </c>
      <c r="P8" s="30" t="s">
        <v>19</v>
      </c>
      <c r="Q8" s="25"/>
    </row>
    <row r="9" customFormat="false" ht="15" hidden="false" customHeight="false" outlineLevel="0" collapsed="false">
      <c r="A9" s="22"/>
      <c r="B9" s="25"/>
      <c r="C9" s="25"/>
      <c r="D9" s="25"/>
      <c r="E9" s="25"/>
      <c r="F9" s="25"/>
      <c r="G9" s="25"/>
      <c r="H9" s="25"/>
      <c r="I9" s="25"/>
      <c r="J9" s="25"/>
      <c r="K9" s="25"/>
      <c r="L9" s="25"/>
      <c r="O9" s="29" t="s">
        <v>20</v>
      </c>
      <c r="P9" s="31" t="s">
        <v>19</v>
      </c>
      <c r="Q9" s="25"/>
    </row>
    <row r="10" customFormat="false" ht="15" hidden="false" customHeight="false" outlineLevel="0" collapsed="false">
      <c r="A10" s="22"/>
      <c r="B10" s="25"/>
      <c r="C10" s="25"/>
      <c r="D10" s="25"/>
      <c r="E10" s="25"/>
      <c r="F10" s="25"/>
      <c r="G10" s="25"/>
      <c r="H10" s="25"/>
      <c r="I10" s="25"/>
      <c r="J10" s="25"/>
      <c r="K10" s="25"/>
      <c r="L10" s="25"/>
      <c r="O10" s="32" t="s">
        <v>21</v>
      </c>
      <c r="P10" s="33" t="s">
        <v>19</v>
      </c>
      <c r="Q10" s="25"/>
    </row>
    <row r="11" customFormat="false" ht="15" hidden="false" customHeight="false" outlineLevel="0" collapsed="false">
      <c r="A11" s="22"/>
      <c r="B11" s="25"/>
      <c r="C11" s="25"/>
      <c r="D11" s="25"/>
      <c r="E11" s="25"/>
      <c r="F11" s="25"/>
      <c r="G11" s="25"/>
      <c r="H11" s="25"/>
      <c r="I11" s="25"/>
      <c r="J11" s="25"/>
      <c r="K11" s="25"/>
      <c r="L11" s="25"/>
      <c r="O11" s="29" t="s">
        <v>22</v>
      </c>
      <c r="P11" s="34" t="s">
        <v>19</v>
      </c>
      <c r="Q11" s="25"/>
    </row>
    <row r="12" customFormat="false" ht="15" hidden="false" customHeight="false" outlineLevel="0" collapsed="false">
      <c r="A12" s="22"/>
      <c r="B12" s="25"/>
      <c r="C12" s="25"/>
      <c r="D12" s="25"/>
      <c r="E12" s="25"/>
      <c r="F12" s="25"/>
      <c r="G12" s="25"/>
      <c r="H12" s="25"/>
      <c r="I12" s="25"/>
      <c r="J12" s="25"/>
      <c r="K12" s="25"/>
      <c r="L12" s="25"/>
      <c r="O12" s="29" t="s">
        <v>23</v>
      </c>
      <c r="P12" s="35" t="s">
        <v>19</v>
      </c>
      <c r="Q12" s="25"/>
    </row>
    <row r="13" customFormat="false" ht="15" hidden="false" customHeight="false" outlineLevel="0" collapsed="false">
      <c r="A13" s="22"/>
      <c r="B13" s="25"/>
      <c r="C13" s="25"/>
      <c r="D13" s="25"/>
      <c r="E13" s="25"/>
      <c r="F13" s="25"/>
      <c r="G13" s="25"/>
      <c r="H13" s="25"/>
      <c r="I13" s="25"/>
      <c r="J13" s="25"/>
      <c r="K13" s="25"/>
      <c r="L13" s="25"/>
      <c r="O13" s="29" t="s">
        <v>24</v>
      </c>
      <c r="P13" s="36" t="s">
        <v>19</v>
      </c>
      <c r="Q13" s="25"/>
    </row>
    <row r="14" customFormat="false" ht="15" hidden="false" customHeight="false" outlineLevel="0" collapsed="false">
      <c r="A14" s="37"/>
      <c r="B14" s="38"/>
      <c r="C14" s="38"/>
      <c r="D14" s="38"/>
      <c r="E14" s="37"/>
      <c r="F14" s="37"/>
      <c r="G14" s="37"/>
      <c r="H14" s="37"/>
      <c r="I14" s="39" t="s">
        <v>25</v>
      </c>
      <c r="J14" s="40"/>
      <c r="K14" s="40"/>
      <c r="L14" s="40"/>
      <c r="Q14" s="37"/>
    </row>
    <row r="15" customFormat="false" ht="15" hidden="false" customHeight="false" outlineLevel="0" collapsed="false">
      <c r="A15" s="41"/>
      <c r="B15" s="41"/>
      <c r="C15" s="41"/>
      <c r="D15" s="41"/>
      <c r="E15" s="41"/>
      <c r="F15" s="41"/>
      <c r="G15" s="41"/>
      <c r="H15" s="41"/>
      <c r="I15" s="41"/>
      <c r="J15" s="41"/>
      <c r="K15" s="41"/>
      <c r="L15" s="41"/>
      <c r="M15" s="41"/>
      <c r="N15" s="41"/>
      <c r="O15" s="41"/>
      <c r="P15" s="42"/>
      <c r="Q15" s="41"/>
    </row>
    <row r="16" customFormat="false" ht="15" hidden="false" customHeight="true" outlineLevel="0" collapsed="false">
      <c r="A16" s="41"/>
      <c r="B16" s="43" t="s">
        <v>26</v>
      </c>
      <c r="C16" s="44" t="s">
        <v>27</v>
      </c>
      <c r="D16" s="45" t="s">
        <v>28</v>
      </c>
      <c r="E16" s="46" t="s">
        <v>29</v>
      </c>
      <c r="F16" s="46"/>
      <c r="G16" s="46"/>
      <c r="H16" s="46"/>
      <c r="I16" s="46"/>
      <c r="J16" s="46"/>
      <c r="K16" s="46"/>
      <c r="L16" s="46"/>
      <c r="M16" s="46" t="s">
        <v>30</v>
      </c>
      <c r="N16" s="47"/>
      <c r="O16" s="43" t="s">
        <v>31</v>
      </c>
      <c r="P16" s="45" t="s">
        <v>32</v>
      </c>
      <c r="R16" s="21"/>
    </row>
    <row r="17" customFormat="false" ht="15" hidden="false" customHeight="false" outlineLevel="0" collapsed="false">
      <c r="A17" s="48"/>
      <c r="B17" s="43"/>
      <c r="C17" s="44"/>
      <c r="D17" s="45"/>
      <c r="E17" s="49" t="n">
        <v>7</v>
      </c>
      <c r="F17" s="50" t="n">
        <v>6</v>
      </c>
      <c r="G17" s="50" t="n">
        <v>5</v>
      </c>
      <c r="H17" s="50" t="n">
        <v>4</v>
      </c>
      <c r="I17" s="50" t="n">
        <v>3</v>
      </c>
      <c r="J17" s="50" t="n">
        <v>2</v>
      </c>
      <c r="K17" s="50" t="n">
        <v>1</v>
      </c>
      <c r="L17" s="51" t="n">
        <v>0</v>
      </c>
      <c r="M17" s="46"/>
      <c r="N17" s="47"/>
      <c r="O17" s="43"/>
      <c r="P17" s="45"/>
      <c r="R17" s="21"/>
    </row>
    <row r="18" s="54" customFormat="true" ht="6" hidden="false" customHeight="true" outlineLevel="0" collapsed="false">
      <c r="A18" s="52"/>
      <c r="B18" s="53"/>
      <c r="C18" s="53"/>
      <c r="D18" s="53"/>
      <c r="E18" s="47"/>
      <c r="F18" s="47"/>
      <c r="G18" s="47"/>
      <c r="H18" s="47"/>
      <c r="I18" s="47"/>
      <c r="J18" s="47"/>
      <c r="K18" s="47"/>
      <c r="L18" s="47"/>
      <c r="M18" s="47"/>
      <c r="N18" s="47"/>
      <c r="O18" s="53"/>
      <c r="P18" s="53"/>
    </row>
    <row r="19" s="21" customFormat="true" ht="15" hidden="false" customHeight="false" outlineLevel="0" collapsed="false">
      <c r="A19" s="55" t="n">
        <v>0</v>
      </c>
      <c r="B19" s="56" t="str">
        <f aca="false">CONCATENATE("0x",DEC2HEX(A19,2))</f>
        <v>0x00</v>
      </c>
      <c r="C19" s="57" t="s">
        <v>33</v>
      </c>
      <c r="D19" s="58" t="s">
        <v>34</v>
      </c>
      <c r="E19" s="59" t="s">
        <v>35</v>
      </c>
      <c r="F19" s="59"/>
      <c r="G19" s="59"/>
      <c r="H19" s="59"/>
      <c r="I19" s="60" t="s">
        <v>36</v>
      </c>
      <c r="J19" s="60"/>
      <c r="K19" s="60"/>
      <c r="L19" s="60" t="s">
        <v>37</v>
      </c>
      <c r="M19" s="61" t="str">
        <f aca="false">CONCATENATE(DEC2HEX(L20+2*K20+4*J20+8*I20+16*H20+32*G20+64*F20+128*E20,2),"h")</f>
        <v>3Eh</v>
      </c>
      <c r="N19" s="62"/>
      <c r="O19" s="63" t="s">
        <v>38</v>
      </c>
      <c r="P19" s="63" t="str">
        <f aca="false">CONCATENATE("40h, ",M19)</f>
        <v>40h, 3Eh</v>
      </c>
      <c r="Q19" s="64"/>
    </row>
    <row r="20" s="21" customFormat="true" ht="15" hidden="false" customHeight="true" outlineLevel="0" collapsed="false">
      <c r="A20" s="55"/>
      <c r="B20" s="56"/>
      <c r="C20" s="57"/>
      <c r="D20" s="58"/>
      <c r="E20" s="65" t="n">
        <f aca="false">'(RegMap)'!$D12</f>
        <v>0</v>
      </c>
      <c r="F20" s="66" t="n">
        <f aca="false">'(RegMap)'!$D13</f>
        <v>0</v>
      </c>
      <c r="G20" s="66" t="n">
        <f aca="false">'(RegMap)'!$D14</f>
        <v>1</v>
      </c>
      <c r="H20" s="67" t="n">
        <f aca="false">'(RegMap)'!$D15</f>
        <v>1</v>
      </c>
      <c r="I20" s="68" t="n">
        <f aca="false">'(RegMap)'!$D35</f>
        <v>1</v>
      </c>
      <c r="J20" s="69" t="n">
        <f aca="false">'(RegMap)'!$D36</f>
        <v>1</v>
      </c>
      <c r="K20" s="70" t="n">
        <f aca="false">'(RegMap)'!$D37</f>
        <v>1</v>
      </c>
      <c r="L20" s="68" t="n">
        <f aca="false">'(RegMap)'!$D48</f>
        <v>0</v>
      </c>
      <c r="M20" s="61"/>
      <c r="N20" s="62"/>
      <c r="O20" s="63"/>
      <c r="P20" s="63"/>
      <c r="Q20" s="71"/>
    </row>
    <row r="21" s="21" customFormat="true" ht="24" hidden="false" customHeight="true" outlineLevel="0" collapsed="false">
      <c r="A21" s="55"/>
      <c r="B21" s="56"/>
      <c r="C21" s="57"/>
      <c r="D21" s="58"/>
      <c r="E21" s="72" t="s">
        <v>39</v>
      </c>
      <c r="F21" s="72"/>
      <c r="G21" s="72"/>
      <c r="H21" s="72"/>
      <c r="I21" s="73" t="s">
        <v>40</v>
      </c>
      <c r="J21" s="73"/>
      <c r="K21" s="73"/>
      <c r="L21" s="74" t="s">
        <v>41</v>
      </c>
      <c r="M21" s="61"/>
      <c r="N21" s="62"/>
      <c r="O21" s="63"/>
      <c r="P21" s="63"/>
      <c r="Q21" s="71"/>
    </row>
    <row r="22" s="54" customFormat="true" ht="6" hidden="false" customHeight="true" outlineLevel="0" collapsed="false">
      <c r="A22" s="75"/>
      <c r="B22" s="76"/>
      <c r="C22" s="62"/>
      <c r="D22" s="77"/>
      <c r="E22" s="78"/>
      <c r="F22" s="78"/>
      <c r="G22" s="78"/>
      <c r="H22" s="78"/>
      <c r="I22" s="78"/>
      <c r="J22" s="78"/>
      <c r="K22" s="78"/>
      <c r="L22" s="78"/>
      <c r="M22" s="77"/>
      <c r="N22" s="62"/>
      <c r="O22" s="79"/>
      <c r="P22" s="79"/>
      <c r="Q22" s="80"/>
    </row>
    <row r="23" s="21" customFormat="true" ht="15" hidden="false" customHeight="false" outlineLevel="0" collapsed="false">
      <c r="A23" s="55" t="n">
        <f aca="false">1+A19</f>
        <v>1</v>
      </c>
      <c r="B23" s="56" t="str">
        <f aca="false">CONCATENATE("0x",DEC2HEX(A23,2))</f>
        <v>0x01</v>
      </c>
      <c r="C23" s="57" t="s">
        <v>33</v>
      </c>
      <c r="D23" s="58" t="s">
        <v>34</v>
      </c>
      <c r="E23" s="60" t="s">
        <v>42</v>
      </c>
      <c r="F23" s="60"/>
      <c r="G23" s="60"/>
      <c r="H23" s="81" t="s">
        <v>43</v>
      </c>
      <c r="I23" s="81"/>
      <c r="J23" s="60" t="s">
        <v>44</v>
      </c>
      <c r="K23" s="60" t="s">
        <v>45</v>
      </c>
      <c r="L23" s="60" t="s">
        <v>46</v>
      </c>
      <c r="M23" s="61" t="e">
        <f aca="false">CONCATENATE(DEC2HEX(L24+2*K24+4*J24+8*I24+16*H24+32*G24+64*F24+128*E24,2),"h")</f>
        <v>#N/A</v>
      </c>
      <c r="N23" s="62"/>
      <c r="O23" s="63" t="s">
        <v>47</v>
      </c>
      <c r="P23" s="63" t="e">
        <f aca="false">CONCATENATE("44h, ",M23)</f>
        <v>#N/A</v>
      </c>
      <c r="Q23" s="64"/>
    </row>
    <row r="24" customFormat="false" ht="15" hidden="false" customHeight="false" outlineLevel="0" collapsed="false">
      <c r="A24" s="55"/>
      <c r="B24" s="56"/>
      <c r="C24" s="57"/>
      <c r="D24" s="58"/>
      <c r="E24" s="82" t="e">
        <f aca="false">'(RegMap)'!$H12</f>
        <v>#N/A</v>
      </c>
      <c r="F24" s="69" t="e">
        <f aca="false">'(RegMap)'!$H13</f>
        <v>#N/A</v>
      </c>
      <c r="G24" s="83" t="e">
        <f aca="false">'(RegMap)'!$H14</f>
        <v>#N/A</v>
      </c>
      <c r="H24" s="82" t="n">
        <f aca="false">'(RegMap)'!$H26</f>
        <v>0</v>
      </c>
      <c r="I24" s="67" t="n">
        <f aca="false">'(RegMap)'!$H27</f>
        <v>1</v>
      </c>
      <c r="J24" s="83" t="n">
        <f aca="false">'(RegMap)'!$H34</f>
        <v>0</v>
      </c>
      <c r="K24" s="65" t="n">
        <f aca="false">'(RegMap)'!$H39</f>
        <v>0</v>
      </c>
      <c r="L24" s="82" t="n">
        <f aca="false">'(RegMap)'!$H44</f>
        <v>0</v>
      </c>
      <c r="M24" s="61"/>
      <c r="N24" s="62"/>
      <c r="O24" s="63"/>
      <c r="P24" s="63"/>
      <c r="R24" s="21"/>
    </row>
    <row r="25" customFormat="false" ht="24" hidden="false" customHeight="false" outlineLevel="0" collapsed="false">
      <c r="A25" s="55"/>
      <c r="B25" s="56"/>
      <c r="C25" s="57"/>
      <c r="D25" s="58"/>
      <c r="E25" s="84" t="s">
        <v>48</v>
      </c>
      <c r="F25" s="84"/>
      <c r="G25" s="84"/>
      <c r="H25" s="84" t="s">
        <v>49</v>
      </c>
      <c r="I25" s="84"/>
      <c r="J25" s="85" t="s">
        <v>50</v>
      </c>
      <c r="K25" s="72" t="s">
        <v>51</v>
      </c>
      <c r="L25" s="85" t="s">
        <v>52</v>
      </c>
      <c r="M25" s="61"/>
      <c r="N25" s="62"/>
      <c r="O25" s="63"/>
      <c r="P25" s="63"/>
      <c r="R25" s="21"/>
    </row>
    <row r="26" s="54" customFormat="true" ht="6" hidden="false" customHeight="true" outlineLevel="0" collapsed="false">
      <c r="A26" s="75"/>
      <c r="B26" s="62"/>
      <c r="C26" s="62"/>
      <c r="D26" s="77"/>
      <c r="E26" s="86"/>
      <c r="F26" s="86"/>
      <c r="G26" s="78"/>
      <c r="H26" s="78"/>
      <c r="I26" s="78"/>
      <c r="J26" s="78"/>
      <c r="K26" s="78"/>
      <c r="L26" s="78"/>
      <c r="M26" s="77"/>
      <c r="N26" s="62"/>
      <c r="O26" s="79"/>
      <c r="P26" s="79"/>
    </row>
    <row r="27" customFormat="false" ht="15" hidden="false" customHeight="false" outlineLevel="0" collapsed="false">
      <c r="A27" s="55" t="n">
        <f aca="false">1+A23</f>
        <v>2</v>
      </c>
      <c r="B27" s="56" t="str">
        <f aca="false">CONCATENATE("0x",DEC2HEX(A27,2))</f>
        <v>0x02</v>
      </c>
      <c r="C27" s="57" t="s">
        <v>33</v>
      </c>
      <c r="D27" s="58" t="s">
        <v>34</v>
      </c>
      <c r="E27" s="59" t="s">
        <v>53</v>
      </c>
      <c r="F27" s="59"/>
      <c r="G27" s="87" t="s">
        <v>54</v>
      </c>
      <c r="H27" s="87"/>
      <c r="I27" s="60" t="s">
        <v>55</v>
      </c>
      <c r="J27" s="60" t="s">
        <v>56</v>
      </c>
      <c r="K27" s="60"/>
      <c r="L27" s="60"/>
      <c r="M27" s="61" t="str">
        <f aca="false">CONCATENATE(DEC2HEX(L28+2*K28+4*J28+8*I28+16*H28+32*G28+64*F28+128*E28,2),"h")</f>
        <v>47h</v>
      </c>
      <c r="N27" s="62"/>
      <c r="O27" s="63" t="s">
        <v>57</v>
      </c>
      <c r="P27" s="63" t="str">
        <f aca="false">CONCATENATE("48h, ",M27)</f>
        <v>48h, 47h</v>
      </c>
      <c r="R27" s="21"/>
    </row>
    <row r="28" customFormat="false" ht="15" hidden="false" customHeight="false" outlineLevel="0" collapsed="false">
      <c r="A28" s="55"/>
      <c r="B28" s="56"/>
      <c r="C28" s="57"/>
      <c r="D28" s="58"/>
      <c r="E28" s="82" t="n">
        <f aca="false">'(RegMap)'!$L12</f>
        <v>0</v>
      </c>
      <c r="F28" s="88" t="n">
        <f aca="false">'(RegMap)'!$L13</f>
        <v>1</v>
      </c>
      <c r="G28" s="89" t="n">
        <f aca="false">'(RegMap)'!$L21</f>
        <v>0</v>
      </c>
      <c r="H28" s="88" t="n">
        <f aca="false">'(RegMap)'!$L22</f>
        <v>0</v>
      </c>
      <c r="I28" s="65" t="n">
        <f aca="false">'(RegMap)'!$L29</f>
        <v>0</v>
      </c>
      <c r="J28" s="82" t="n">
        <f aca="false">'(RegMap)'!$L35</f>
        <v>1</v>
      </c>
      <c r="K28" s="69" t="n">
        <f aca="false">'(RegMap)'!$L36</f>
        <v>1</v>
      </c>
      <c r="L28" s="89" t="n">
        <f aca="false">'(RegMap)'!$L37</f>
        <v>1</v>
      </c>
      <c r="M28" s="61"/>
      <c r="N28" s="62"/>
      <c r="O28" s="63"/>
      <c r="P28" s="63"/>
      <c r="R28" s="21"/>
    </row>
    <row r="29" customFormat="false" ht="24" hidden="false" customHeight="true" outlineLevel="0" collapsed="false">
      <c r="A29" s="55"/>
      <c r="B29" s="56"/>
      <c r="C29" s="57"/>
      <c r="D29" s="58"/>
      <c r="E29" s="72" t="s">
        <v>58</v>
      </c>
      <c r="F29" s="72"/>
      <c r="G29" s="90" t="s">
        <v>59</v>
      </c>
      <c r="H29" s="90"/>
      <c r="I29" s="72" t="s">
        <v>60</v>
      </c>
      <c r="J29" s="73" t="s">
        <v>61</v>
      </c>
      <c r="K29" s="73"/>
      <c r="L29" s="73"/>
      <c r="M29" s="61"/>
      <c r="N29" s="62"/>
      <c r="O29" s="63"/>
      <c r="P29" s="63"/>
      <c r="R29" s="21"/>
    </row>
    <row r="30" s="54" customFormat="true" ht="6" hidden="false" customHeight="true" outlineLevel="0" collapsed="false">
      <c r="A30" s="75"/>
      <c r="B30" s="62"/>
      <c r="C30" s="62"/>
      <c r="D30" s="77"/>
      <c r="E30" s="78"/>
      <c r="F30" s="78"/>
      <c r="G30" s="78"/>
      <c r="H30" s="78"/>
      <c r="I30" s="78"/>
      <c r="J30" s="78"/>
      <c r="K30" s="78"/>
      <c r="L30" s="78"/>
      <c r="M30" s="77"/>
      <c r="N30" s="62"/>
      <c r="O30" s="79"/>
      <c r="P30" s="79"/>
    </row>
    <row r="31" customFormat="false" ht="15" hidden="false" customHeight="false" outlineLevel="0" collapsed="false">
      <c r="A31" s="55" t="n">
        <f aca="false">1+A27</f>
        <v>3</v>
      </c>
      <c r="B31" s="56" t="str">
        <f aca="false">CONCATENATE("0x",DEC2HEX(A31,2))</f>
        <v>0x03</v>
      </c>
      <c r="C31" s="57" t="s">
        <v>33</v>
      </c>
      <c r="D31" s="58" t="s">
        <v>34</v>
      </c>
      <c r="E31" s="60" t="s">
        <v>62</v>
      </c>
      <c r="F31" s="60"/>
      <c r="G31" s="60"/>
      <c r="H31" s="60" t="s">
        <v>63</v>
      </c>
      <c r="I31" s="60"/>
      <c r="J31" s="60"/>
      <c r="K31" s="60" t="s">
        <v>64</v>
      </c>
      <c r="L31" s="91" t="s">
        <v>65</v>
      </c>
      <c r="M31" s="61" t="str">
        <f aca="false">CONCATENATE(DEC2HEX(L32+2*K32+4*J32+8*I32+16*H32+32*G32+64*F32+128*E32,2),"h")</f>
        <v>A4h</v>
      </c>
      <c r="N31" s="62"/>
      <c r="O31" s="63" t="s">
        <v>66</v>
      </c>
      <c r="P31" s="63" t="str">
        <f aca="false">CONCATENATE("4Ch, ",M31)</f>
        <v>4Ch, A4h</v>
      </c>
      <c r="R31" s="21"/>
    </row>
    <row r="32" customFormat="false" ht="15" hidden="false" customHeight="false" outlineLevel="0" collapsed="false">
      <c r="A32" s="55"/>
      <c r="B32" s="56"/>
      <c r="C32" s="57"/>
      <c r="D32" s="58"/>
      <c r="E32" s="82" t="n">
        <f aca="false">'(RegMap)'!$P12</f>
        <v>1</v>
      </c>
      <c r="F32" s="69" t="n">
        <f aca="false">'(RegMap)'!$P13</f>
        <v>0</v>
      </c>
      <c r="G32" s="83" t="n">
        <f aca="false">'(RegMap)'!$P14</f>
        <v>1</v>
      </c>
      <c r="H32" s="82" t="n">
        <f aca="false">'(RegMap)'!$P26</f>
        <v>0</v>
      </c>
      <c r="I32" s="69" t="n">
        <f aca="false">'(RegMap)'!$P27</f>
        <v>0</v>
      </c>
      <c r="J32" s="83" t="n">
        <f aca="false">'(RegMap)'!$P28</f>
        <v>1</v>
      </c>
      <c r="K32" s="65" t="n">
        <f aca="false">'(RegMap)'!$P39</f>
        <v>0</v>
      </c>
      <c r="L32" s="92" t="n">
        <v>0</v>
      </c>
      <c r="M32" s="61"/>
      <c r="N32" s="62"/>
      <c r="O32" s="63"/>
      <c r="P32" s="63"/>
      <c r="R32" s="21"/>
    </row>
    <row r="33" customFormat="false" ht="24" hidden="false" customHeight="false" outlineLevel="0" collapsed="false">
      <c r="A33" s="55"/>
      <c r="B33" s="56"/>
      <c r="C33" s="57"/>
      <c r="D33" s="58"/>
      <c r="E33" s="84" t="s">
        <v>67</v>
      </c>
      <c r="F33" s="84"/>
      <c r="G33" s="84"/>
      <c r="H33" s="84" t="s">
        <v>68</v>
      </c>
      <c r="I33" s="84"/>
      <c r="J33" s="84"/>
      <c r="K33" s="72" t="s">
        <v>69</v>
      </c>
      <c r="L33" s="93" t="s">
        <v>70</v>
      </c>
      <c r="M33" s="61"/>
      <c r="N33" s="62"/>
      <c r="O33" s="63"/>
      <c r="P33" s="63"/>
      <c r="R33" s="54"/>
      <c r="S33" s="54"/>
      <c r="T33" s="54"/>
      <c r="U33" s="54"/>
      <c r="V33" s="54"/>
    </row>
    <row r="34" s="54" customFormat="true" ht="6" hidden="false" customHeight="true" outlineLevel="0" collapsed="false">
      <c r="A34" s="75"/>
      <c r="B34" s="62"/>
      <c r="C34" s="62"/>
      <c r="D34" s="77"/>
      <c r="E34" s="78"/>
      <c r="F34" s="78"/>
      <c r="G34" s="78"/>
      <c r="H34" s="78"/>
      <c r="I34" s="78"/>
      <c r="J34" s="78"/>
      <c r="K34" s="78"/>
      <c r="L34" s="78"/>
      <c r="M34" s="77"/>
      <c r="N34" s="62"/>
      <c r="O34" s="79"/>
      <c r="P34" s="79"/>
    </row>
    <row r="35" customFormat="false" ht="15" hidden="false" customHeight="false" outlineLevel="0" collapsed="false">
      <c r="A35" s="22"/>
      <c r="B35" s="94"/>
      <c r="C35" s="22"/>
      <c r="D35" s="22"/>
      <c r="E35" s="22"/>
      <c r="F35" s="22"/>
      <c r="G35" s="22"/>
      <c r="H35" s="22"/>
      <c r="I35" s="22"/>
      <c r="J35" s="22"/>
      <c r="K35" s="22"/>
      <c r="L35" s="22"/>
      <c r="M35" s="22"/>
      <c r="N35" s="22"/>
      <c r="R35" s="21"/>
    </row>
    <row r="36" customFormat="false" ht="15" hidden="false" customHeight="false" outlineLevel="0" collapsed="false">
      <c r="A36" s="22"/>
      <c r="B36" s="94"/>
      <c r="C36" s="22"/>
      <c r="D36" s="22"/>
      <c r="E36" s="22"/>
      <c r="F36" s="22"/>
      <c r="G36" s="22"/>
      <c r="H36" s="22"/>
      <c r="I36" s="22"/>
      <c r="J36" s="22"/>
      <c r="K36" s="22"/>
      <c r="L36" s="22"/>
      <c r="M36" s="22"/>
      <c r="N36" s="22"/>
      <c r="R36" s="21"/>
    </row>
    <row r="37" customFormat="false" ht="15" hidden="false" customHeight="false" outlineLevel="0" collapsed="false">
      <c r="A37" s="22"/>
      <c r="B37" s="94"/>
      <c r="C37" s="22"/>
      <c r="D37" s="22"/>
      <c r="E37" s="22"/>
      <c r="F37" s="22"/>
      <c r="G37" s="22"/>
      <c r="H37" s="22"/>
      <c r="I37" s="22"/>
      <c r="J37" s="22"/>
      <c r="M37" s="22"/>
      <c r="N37" s="22"/>
      <c r="R37" s="21"/>
    </row>
    <row r="38" s="21" customFormat="true" ht="15" hidden="false" customHeight="false" outlineLevel="0" collapsed="false">
      <c r="A38" s="22"/>
      <c r="B38" s="22"/>
      <c r="C38" s="22"/>
      <c r="D38" s="22"/>
      <c r="E38" s="22"/>
      <c r="F38" s="22"/>
      <c r="G38" s="22"/>
      <c r="H38" s="22"/>
      <c r="I38" s="22"/>
      <c r="J38" s="22"/>
      <c r="M38" s="22"/>
      <c r="N38" s="22"/>
    </row>
    <row r="39" s="21" customFormat="true" ht="15" hidden="false" customHeight="false" outlineLevel="0" collapsed="false">
      <c r="A39" s="22"/>
      <c r="B39" s="22"/>
      <c r="C39" s="22"/>
      <c r="D39" s="54"/>
      <c r="E39" s="54"/>
      <c r="F39" s="54"/>
      <c r="G39" s="54"/>
      <c r="H39" s="54"/>
      <c r="K39" s="54"/>
      <c r="L39" s="54"/>
      <c r="M39" s="54"/>
      <c r="N39" s="22"/>
    </row>
    <row r="40" s="21" customFormat="true" ht="15" hidden="false" customHeight="false" outlineLevel="0" collapsed="false">
      <c r="A40" s="22"/>
      <c r="B40" s="22"/>
      <c r="C40" s="22"/>
      <c r="D40" s="54"/>
      <c r="E40" s="54"/>
      <c r="F40" s="54"/>
      <c r="G40" s="54"/>
      <c r="H40" s="54"/>
      <c r="I40" s="54"/>
      <c r="J40" s="54"/>
      <c r="K40" s="54"/>
      <c r="L40" s="54"/>
      <c r="M40" s="54"/>
      <c r="N40" s="22"/>
    </row>
    <row r="41" customFormat="false" ht="15" hidden="false" customHeight="false" outlineLevel="0" collapsed="false">
      <c r="A41" s="22"/>
      <c r="B41" s="22"/>
      <c r="C41" s="22"/>
      <c r="D41" s="95"/>
      <c r="E41" s="62"/>
      <c r="F41" s="62"/>
      <c r="G41" s="62"/>
      <c r="H41" s="62"/>
      <c r="I41" s="62"/>
      <c r="J41" s="62"/>
      <c r="K41" s="62"/>
      <c r="L41" s="62"/>
      <c r="M41" s="54"/>
      <c r="N41" s="22"/>
      <c r="R41" s="21"/>
    </row>
    <row r="42" customFormat="false" ht="15" hidden="false" customHeight="false" outlineLevel="0" collapsed="false">
      <c r="A42" s="22"/>
      <c r="B42" s="22"/>
      <c r="C42" s="22"/>
      <c r="D42" s="95"/>
      <c r="E42" s="78"/>
      <c r="F42" s="78"/>
      <c r="G42" s="78"/>
      <c r="H42" s="78"/>
      <c r="I42" s="78"/>
      <c r="J42" s="78"/>
      <c r="K42" s="78"/>
      <c r="L42" s="78"/>
      <c r="M42" s="54"/>
      <c r="N42" s="22"/>
      <c r="R42" s="21"/>
    </row>
    <row r="43" customFormat="false" ht="15" hidden="false" customHeight="false" outlineLevel="0" collapsed="false">
      <c r="D43" s="95"/>
      <c r="E43" s="78"/>
      <c r="F43" s="78"/>
      <c r="G43" s="78"/>
      <c r="H43" s="78"/>
      <c r="I43" s="78"/>
      <c r="J43" s="78"/>
      <c r="K43" s="78"/>
      <c r="L43" s="78"/>
      <c r="M43" s="78"/>
      <c r="N43" s="96"/>
      <c r="R43" s="21"/>
    </row>
    <row r="44" customFormat="false" ht="15" hidden="false" customHeight="false" outlineLevel="0" collapsed="false">
      <c r="D44" s="77"/>
      <c r="E44" s="78"/>
      <c r="F44" s="78"/>
      <c r="G44" s="78"/>
      <c r="H44" s="78"/>
      <c r="I44" s="78"/>
      <c r="J44" s="78"/>
      <c r="K44" s="78"/>
      <c r="L44" s="78"/>
      <c r="M44" s="78"/>
      <c r="R44" s="21"/>
    </row>
    <row r="45" customFormat="false" ht="15" hidden="false" customHeight="false" outlineLevel="0" collapsed="false">
      <c r="E45" s="77"/>
      <c r="F45" s="78"/>
      <c r="G45" s="78"/>
      <c r="H45" s="78"/>
      <c r="I45" s="78"/>
      <c r="J45" s="78"/>
      <c r="K45" s="78"/>
      <c r="L45" s="78"/>
      <c r="M45" s="78"/>
      <c r="N45" s="78"/>
    </row>
    <row r="46" customFormat="false" ht="15" hidden="false" customHeight="false" outlineLevel="0" collapsed="false">
      <c r="E46" s="54"/>
      <c r="F46" s="54"/>
      <c r="G46" s="54"/>
      <c r="H46" s="54"/>
      <c r="I46" s="54"/>
      <c r="J46" s="54"/>
      <c r="K46" s="54"/>
      <c r="L46" s="54"/>
      <c r="M46" s="54"/>
      <c r="N46" s="54"/>
    </row>
    <row r="47" customFormat="false" ht="15" hidden="false" customHeight="false" outlineLevel="0" collapsed="false">
      <c r="D47" s="54"/>
      <c r="E47" s="54"/>
      <c r="F47" s="54"/>
      <c r="G47" s="54"/>
      <c r="H47" s="54"/>
      <c r="I47" s="54"/>
      <c r="J47" s="54"/>
      <c r="K47" s="54"/>
      <c r="L47" s="54"/>
      <c r="M47" s="54"/>
      <c r="N47" s="54"/>
    </row>
    <row r="48" customFormat="false" ht="15" hidden="false" customHeight="false" outlineLevel="0" collapsed="false">
      <c r="D48" s="54"/>
      <c r="E48" s="54"/>
      <c r="F48" s="54"/>
      <c r="G48" s="54"/>
      <c r="H48" s="54"/>
      <c r="I48" s="54"/>
      <c r="J48" s="54"/>
      <c r="K48" s="54"/>
      <c r="L48" s="54"/>
      <c r="M48" s="54"/>
      <c r="N48" s="54"/>
    </row>
    <row r="49" customFormat="false" ht="15" hidden="false" customHeight="false" outlineLevel="0" collapsed="false">
      <c r="D49" s="54"/>
    </row>
    <row r="50" customFormat="false" ht="15" hidden="false" customHeight="false" outlineLevel="0" collapsed="false">
      <c r="E50" s="97"/>
      <c r="F50" s="54"/>
      <c r="I50" s="97"/>
      <c r="L50" s="97"/>
    </row>
    <row r="51" customFormat="false" ht="15" hidden="false" customHeight="false" outlineLevel="0" collapsed="false">
      <c r="E51" s="97"/>
      <c r="F51" s="54"/>
      <c r="I51" s="97"/>
      <c r="L51" s="97"/>
    </row>
    <row r="52" customFormat="false" ht="15" hidden="false" customHeight="false" outlineLevel="0" collapsed="false">
      <c r="E52" s="97"/>
      <c r="F52" s="54"/>
      <c r="I52" s="97"/>
    </row>
    <row r="53" customFormat="false" ht="15" hidden="false" customHeight="false" outlineLevel="0" collapsed="false">
      <c r="E53" s="97"/>
      <c r="I53" s="97"/>
      <c r="Q53" s="97"/>
      <c r="R53" s="54"/>
    </row>
    <row r="54" customFormat="false" ht="15" hidden="false" customHeight="false" outlineLevel="0" collapsed="false">
      <c r="E54" s="97"/>
      <c r="I54" s="97"/>
      <c r="Q54" s="97"/>
      <c r="R54" s="54"/>
    </row>
    <row r="55" customFormat="false" ht="15" hidden="false" customHeight="false" outlineLevel="0" collapsed="false">
      <c r="E55" s="97"/>
      <c r="I55" s="97"/>
      <c r="Q55" s="97"/>
      <c r="R55" s="54"/>
    </row>
    <row r="56" s="21" customFormat="true" ht="15" hidden="false" customHeight="false" outlineLevel="0" collapsed="false">
      <c r="E56" s="97"/>
      <c r="I56" s="97"/>
      <c r="Q56" s="97"/>
    </row>
    <row r="57" s="21" customFormat="true" ht="15" hidden="false" customHeight="false" outlineLevel="0" collapsed="false">
      <c r="E57" s="97"/>
      <c r="I57" s="97"/>
      <c r="Q57" s="97"/>
    </row>
    <row r="58" s="21" customFormat="true" ht="15" hidden="false" customHeight="false" outlineLevel="0" collapsed="false">
      <c r="E58" s="97"/>
      <c r="Q58" s="97"/>
    </row>
    <row r="59" s="21" customFormat="true" ht="15" hidden="false" customHeight="false" outlineLevel="0" collapsed="false">
      <c r="E59" s="97"/>
      <c r="Q59" s="97"/>
    </row>
    <row r="60" s="21" customFormat="true" ht="15" hidden="false" customHeight="false" outlineLevel="0" collapsed="false">
      <c r="E60" s="97"/>
      <c r="Q60" s="97"/>
    </row>
    <row r="61" s="21" customFormat="true" ht="15" hidden="false" customHeight="false" outlineLevel="0" collapsed="false">
      <c r="E61" s="97"/>
      <c r="Q61" s="97"/>
    </row>
    <row r="62" s="21" customFormat="true" ht="15" hidden="false" customHeight="false" outlineLevel="0" collapsed="false">
      <c r="E62" s="97"/>
      <c r="Q62" s="97"/>
    </row>
    <row r="63" s="21" customFormat="true" ht="15" hidden="false" customHeight="false" outlineLevel="0" collapsed="false">
      <c r="E63" s="97"/>
      <c r="Q63" s="97"/>
    </row>
    <row r="64" s="21" customFormat="true" ht="15" hidden="false" customHeight="false" outlineLevel="0" collapsed="false">
      <c r="E64" s="97"/>
      <c r="Q64" s="97"/>
    </row>
    <row r="65" s="21" customFormat="true" ht="15" hidden="false" customHeight="false" outlineLevel="0" collapsed="false">
      <c r="E65" s="97"/>
      <c r="Q65" s="97"/>
    </row>
    <row r="66" s="21" customFormat="true" ht="15" hidden="false" customHeight="false" outlineLevel="0" collapsed="false">
      <c r="Q66" s="97"/>
    </row>
    <row r="67" s="21" customFormat="true" ht="15" hidden="false" customHeight="false" outlineLevel="0" collapsed="false">
      <c r="Q67" s="97"/>
    </row>
    <row r="68" s="21" customFormat="true" ht="15" hidden="false" customHeight="false" outlineLevel="0" collapsed="false">
      <c r="H68" s="97"/>
      <c r="K68" s="97"/>
      <c r="Q68" s="97"/>
    </row>
    <row r="69" customFormat="false" ht="15" hidden="false" customHeight="false" outlineLevel="0" collapsed="false">
      <c r="H69" s="97"/>
      <c r="K69" s="97"/>
    </row>
    <row r="70" customFormat="false" ht="15" hidden="false" customHeight="false" outlineLevel="0" collapsed="false">
      <c r="H70" s="97"/>
    </row>
    <row r="71" customFormat="false" ht="15" hidden="false" customHeight="false" outlineLevel="0" collapsed="false">
      <c r="H71" s="97"/>
    </row>
  </sheetData>
  <sheetProtection sheet="true" objects="true" scenarios="true" selectLockedCells="true"/>
  <mergeCells count="56">
    <mergeCell ref="A1:P3"/>
    <mergeCell ref="A4:P4"/>
    <mergeCell ref="O5:P5"/>
    <mergeCell ref="B16:B17"/>
    <mergeCell ref="C16:C17"/>
    <mergeCell ref="D16:D17"/>
    <mergeCell ref="E16:L16"/>
    <mergeCell ref="M16:M17"/>
    <mergeCell ref="O16:O17"/>
    <mergeCell ref="P16:P17"/>
    <mergeCell ref="A19:A21"/>
    <mergeCell ref="B19:B21"/>
    <mergeCell ref="C19:C21"/>
    <mergeCell ref="D19:D21"/>
    <mergeCell ref="E19:H19"/>
    <mergeCell ref="I19:K19"/>
    <mergeCell ref="M19:M21"/>
    <mergeCell ref="O19:O21"/>
    <mergeCell ref="P19:P21"/>
    <mergeCell ref="E21:H21"/>
    <mergeCell ref="I21:K21"/>
    <mergeCell ref="A23:A25"/>
    <mergeCell ref="B23:B25"/>
    <mergeCell ref="C23:C25"/>
    <mergeCell ref="D23:D25"/>
    <mergeCell ref="E23:G23"/>
    <mergeCell ref="H23:I23"/>
    <mergeCell ref="M23:M25"/>
    <mergeCell ref="O23:O25"/>
    <mergeCell ref="P23:P25"/>
    <mergeCell ref="E25:G25"/>
    <mergeCell ref="H25:I25"/>
    <mergeCell ref="A27:A29"/>
    <mergeCell ref="B27:B29"/>
    <mergeCell ref="C27:C29"/>
    <mergeCell ref="D27:D29"/>
    <mergeCell ref="E27:F27"/>
    <mergeCell ref="G27:H27"/>
    <mergeCell ref="J27:L27"/>
    <mergeCell ref="M27:M29"/>
    <mergeCell ref="O27:O29"/>
    <mergeCell ref="P27:P29"/>
    <mergeCell ref="E29:F29"/>
    <mergeCell ref="G29:H29"/>
    <mergeCell ref="J29:L29"/>
    <mergeCell ref="A31:A33"/>
    <mergeCell ref="B31:B33"/>
    <mergeCell ref="C31:C33"/>
    <mergeCell ref="D31:D33"/>
    <mergeCell ref="E31:G31"/>
    <mergeCell ref="H31:J31"/>
    <mergeCell ref="M31:M33"/>
    <mergeCell ref="O31:O33"/>
    <mergeCell ref="P31:P33"/>
    <mergeCell ref="E33:G33"/>
    <mergeCell ref="H33:J33"/>
  </mergeCells>
  <conditionalFormatting sqref="I27">
    <cfRule type="expression" priority="2" aboveAverage="0" equalAverage="0" bottom="0" percent="0" rank="0" text="" dxfId="0">
      <formula>IF(I28,1,0)</formula>
    </cfRule>
  </conditionalFormatting>
  <conditionalFormatting sqref="G27:H27">
    <cfRule type="expression" priority="3" aboveAverage="0" equalAverage="0" bottom="0" percent="0" rank="0" text="" dxfId="1">
      <formula>IF(OR(G28,H28),1,0)</formula>
    </cfRule>
  </conditionalFormatting>
  <conditionalFormatting sqref="E27:F27">
    <cfRule type="expression" priority="4" aboveAverage="0" equalAverage="0" bottom="0" percent="0" rank="0" text="" dxfId="2">
      <formula>IF(OR(E28,F28),1,0)</formula>
    </cfRule>
  </conditionalFormatting>
  <conditionalFormatting sqref="J27:L27">
    <cfRule type="expression" priority="5" aboveAverage="0" equalAverage="0" bottom="0" percent="0" rank="0" text="" dxfId="3">
      <formula>IF(OR(J28,K28,L28),1,0)</formula>
    </cfRule>
  </conditionalFormatting>
  <conditionalFormatting sqref="K31">
    <cfRule type="expression" priority="6" aboveAverage="0" equalAverage="0" bottom="0" percent="0" rank="0" text="" dxfId="4">
      <formula>IF(K32,1,0)</formula>
    </cfRule>
  </conditionalFormatting>
  <conditionalFormatting sqref="L23">
    <cfRule type="expression" priority="7" aboveAverage="0" equalAverage="0" bottom="0" percent="0" rank="0" text="" dxfId="5">
      <formula>IF(L24,1,0)</formula>
    </cfRule>
  </conditionalFormatting>
  <conditionalFormatting sqref="K23">
    <cfRule type="expression" priority="8" aboveAverage="0" equalAverage="0" bottom="0" percent="0" rank="0" text="" dxfId="6">
      <formula>IF(K24,1,0)</formula>
    </cfRule>
  </conditionalFormatting>
  <conditionalFormatting sqref="J23">
    <cfRule type="expression" priority="9" aboveAverage="0" equalAverage="0" bottom="0" percent="0" rank="0" text="" dxfId="7">
      <formula>IF(J24,1,0)</formula>
    </cfRule>
  </conditionalFormatting>
  <conditionalFormatting sqref="H23:I23">
    <cfRule type="expression" priority="10" aboveAverage="0" equalAverage="0" bottom="0" percent="0" rank="0" text="" dxfId="8">
      <formula>IF(OR(H24,I24,J24),1,0)</formula>
    </cfRule>
  </conditionalFormatting>
  <conditionalFormatting sqref="H31:J31">
    <cfRule type="expression" priority="11" aboveAverage="0" equalAverage="0" bottom="0" percent="0" rank="0" text="" dxfId="9">
      <formula>IF(OR(H32,I32,J32),1,0)</formula>
    </cfRule>
  </conditionalFormatting>
  <conditionalFormatting sqref="E31:G31">
    <cfRule type="expression" priority="12" aboveAverage="0" equalAverage="0" bottom="0" percent="0" rank="0" text="" dxfId="10">
      <formula>IF(OR(E32,F32,G32),1,0)</formula>
    </cfRule>
  </conditionalFormatting>
  <conditionalFormatting sqref="E23:G23">
    <cfRule type="expression" priority="13" aboveAverage="0" equalAverage="0" bottom="0" percent="0" rank="0" text="" dxfId="11">
      <formula>IF(OR(E24,F24,G24),1,0)</formula>
    </cfRule>
  </conditionalFormatting>
  <conditionalFormatting sqref="L19">
    <cfRule type="expression" priority="14" aboveAverage="0" equalAverage="0" bottom="0" percent="0" rank="0" text="" dxfId="12">
      <formula>IF(L20,1,0)</formula>
    </cfRule>
  </conditionalFormatting>
  <conditionalFormatting sqref="I19:K19">
    <cfRule type="expression" priority="15" aboveAverage="0" equalAverage="0" bottom="0" percent="0" rank="0" text="" dxfId="13">
      <formula>IF(OR(I20,J20,K20),1,0)</formula>
    </cfRule>
  </conditionalFormatting>
  <conditionalFormatting sqref="E32:L32">
    <cfRule type="cellIs" priority="16" operator="equal" aboveAverage="0" equalAverage="0" bottom="0" percent="0" rank="0" text="" dxfId="14">
      <formula>1</formula>
    </cfRule>
  </conditionalFormatting>
  <conditionalFormatting sqref="E28:L28">
    <cfRule type="cellIs" priority="17" operator="equal" aboveAverage="0" equalAverage="0" bottom="0" percent="0" rank="0" text="" dxfId="15">
      <formula>1</formula>
    </cfRule>
  </conditionalFormatting>
  <conditionalFormatting sqref="E24:L24">
    <cfRule type="cellIs" priority="18" operator="equal" aboveAverage="0" equalAverage="0" bottom="0" percent="0" rank="0" text="" dxfId="16">
      <formula>1</formula>
    </cfRule>
  </conditionalFormatting>
  <conditionalFormatting sqref="E19">
    <cfRule type="expression" priority="19" aboveAverage="0" equalAverage="0" bottom="0" percent="0" rank="0" text="" dxfId="17">
      <formula>IF(OR($E$20,$F$20,$G$20,$H$20),1,0)</formula>
    </cfRule>
  </conditionalFormatting>
  <conditionalFormatting sqref="E20:L20">
    <cfRule type="cellIs" priority="20" operator="equal" aboveAverage="0" equalAverage="0" bottom="0" percent="0" rank="0" text="" dxfId="18">
      <formula>1</formula>
    </cfRule>
  </conditionalFormatting>
  <dataValidations count="15">
    <dataValidation allowBlank="true" errorStyle="stop" operator="between" showDropDown="false" showErrorMessage="true" showInputMessage="true" sqref="K33" type="list">
      <formula1>'(RegMap)'!$O$40:$O$41</formula1>
      <formula2>0</formula2>
    </dataValidation>
    <dataValidation allowBlank="true" errorStyle="stop" operator="between" showDropDown="false" showErrorMessage="true" showInputMessage="true" sqref="E21:H21" type="list">
      <formula1>'(RegMap)'!$C$16:$C$30</formula1>
      <formula2>0</formula2>
    </dataValidation>
    <dataValidation allowBlank="true" errorStyle="stop" operator="between" showDropDown="false" showErrorMessage="true" showInputMessage="true" sqref="I21:K21" type="list">
      <formula1>'(RegMap)'!$C$38:$C$45</formula1>
      <formula2>0</formula2>
    </dataValidation>
    <dataValidation allowBlank="true" errorStyle="stop" operator="between" showDropDown="false" showErrorMessage="true" showInputMessage="true" sqref="L21" type="list">
      <formula1>'(RegMap)'!$C$49:$C$50</formula1>
      <formula2>0</formula2>
    </dataValidation>
    <dataValidation allowBlank="true" errorStyle="stop" operator="between" showDropDown="false" showErrorMessage="true" showInputMessage="true" sqref="E25:G25" type="list">
      <formula1>'(RegMap)'!$G$15:$G$21</formula1>
      <formula2>0</formula2>
    </dataValidation>
    <dataValidation allowBlank="true" errorStyle="stop" operator="between" showDropDown="false" showErrorMessage="true" showInputMessage="true" sqref="H25:I25" type="list">
      <formula1>'(RegMap)'!$G$28:$G$30</formula1>
      <formula2>0</formula2>
    </dataValidation>
    <dataValidation allowBlank="true" errorStyle="stop" operator="between" showDropDown="false" showErrorMessage="true" showInputMessage="true" sqref="J25" type="list">
      <formula1>'(RegMap)'!$G$35:$G$36</formula1>
      <formula2>0</formula2>
    </dataValidation>
    <dataValidation allowBlank="true" errorStyle="stop" operator="between" showDropDown="false" showErrorMessage="true" showInputMessage="true" sqref="K25" type="list">
      <formula1>'(RegMap)'!$G$40:$G$41</formula1>
      <formula2>0</formula2>
    </dataValidation>
    <dataValidation allowBlank="true" errorStyle="stop" operator="between" showDropDown="false" showErrorMessage="true" showInputMessage="true" sqref="E29:F29" type="list">
      <formula1>'(RegMap)'!$K$14:$K$17</formula1>
      <formula2>0</formula2>
    </dataValidation>
    <dataValidation allowBlank="true" errorStyle="stop" operator="between" showDropDown="false" showErrorMessage="true" showInputMessage="true" sqref="G29:H29" type="list">
      <formula1>'(RegMap)'!$K$23:$K$26</formula1>
      <formula2>0</formula2>
    </dataValidation>
    <dataValidation allowBlank="true" errorStyle="stop" operator="between" showDropDown="false" showErrorMessage="true" showInputMessage="true" sqref="I29" type="list">
      <formula1>'(RegMap)'!$K$30:$K$31</formula1>
      <formula2>0</formula2>
    </dataValidation>
    <dataValidation allowBlank="true" errorStyle="stop" operator="between" showDropDown="false" showErrorMessage="true" showInputMessage="true" sqref="J29:L29" type="list">
      <formula1>'(RegMap)'!$K$38:$K$45</formula1>
      <formula2>0</formula2>
    </dataValidation>
    <dataValidation allowBlank="true" errorStyle="stop" operator="between" showDropDown="false" showErrorMessage="true" showInputMessage="true" sqref="E33:G33" type="list">
      <formula1>'(RegMap)'!$O$15:$O$21</formula1>
      <formula2>0</formula2>
    </dataValidation>
    <dataValidation allowBlank="true" errorStyle="stop" operator="between" showDropDown="false" showErrorMessage="true" showInputMessage="true" sqref="H33:J33" type="list">
      <formula1>'(RegMap)'!$O$29:$O$35</formula1>
      <formula2>0</formula2>
    </dataValidation>
    <dataValidation allowBlank="true" errorStyle="stop" operator="between" showDropDown="false" showErrorMessage="true" showInputMessage="true" sqref="L25" type="list">
      <formula1>'(RegMap)'!$G$45:$G$46</formula1>
      <formula2>0</formula2>
    </dataValidation>
  </dataValidations>
  <hyperlinks>
    <hyperlink ref="O5"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8"/>
  <sheetViews>
    <sheetView showFormulas="false" showGridLines="true" showRowColHeaders="false" showZeros="true" rightToLeft="false" tabSelected="false" showOutlineSymbols="true" defaultGridColor="true" view="normal" topLeftCell="A7" colorId="64" zoomScale="75" zoomScaleNormal="75" zoomScalePageLayoutView="100" workbookViewId="0">
      <selection pane="topLeft" activeCell="C39" activeCellId="0" sqref="C39"/>
    </sheetView>
  </sheetViews>
  <sheetFormatPr defaultColWidth="9.1484375" defaultRowHeight="12.75" customHeight="false" zeroHeight="false" outlineLevelRow="0" outlineLevelCol="0"/>
  <cols>
    <col collapsed="false" customWidth="true" hidden="false" outlineLevel="0" max="1" min="1" style="98" width="3.57"/>
    <col collapsed="false" customWidth="true" hidden="false" outlineLevel="0" max="2" min="2" style="98" width="4.42"/>
    <col collapsed="false" customWidth="true" hidden="false" outlineLevel="0" max="3" min="3" style="98" width="47.14"/>
    <col collapsed="false" customWidth="true" hidden="false" outlineLevel="0" max="4" min="4" style="98" width="11.71"/>
    <col collapsed="false" customWidth="true" hidden="false" outlineLevel="0" max="5" min="5" style="98" width="2.57"/>
    <col collapsed="false" customWidth="true" hidden="false" outlineLevel="0" max="6" min="6" style="98" width="5"/>
    <col collapsed="false" customWidth="true" hidden="false" outlineLevel="0" max="7" min="7" style="98" width="44.29"/>
    <col collapsed="false" customWidth="true" hidden="false" outlineLevel="0" max="8" min="8" style="98" width="19.86"/>
    <col collapsed="false" customWidth="true" hidden="false" outlineLevel="0" max="9" min="9" style="41" width="3.57"/>
    <col collapsed="false" customWidth="true" hidden="false" outlineLevel="0" max="10" min="10" style="98" width="3"/>
    <col collapsed="false" customWidth="true" hidden="false" outlineLevel="0" max="11" min="11" style="98" width="58.42"/>
    <col collapsed="false" customWidth="true" hidden="false" outlineLevel="0" max="12" min="12" style="98" width="15.29"/>
    <col collapsed="false" customWidth="true" hidden="false" outlineLevel="0" max="14" min="13" style="41" width="4.29"/>
    <col collapsed="false" customWidth="true" hidden="false" outlineLevel="0" max="15" min="15" style="98" width="38.42"/>
    <col collapsed="false" customWidth="true" hidden="false" outlineLevel="0" max="16" min="16" style="98" width="17.42"/>
    <col collapsed="false" customWidth="true" hidden="false" outlineLevel="0" max="17" min="17" style="41" width="4.42"/>
    <col collapsed="false" customWidth="true" hidden="false" outlineLevel="0" max="18" min="18" style="98" width="5.29"/>
    <col collapsed="false" customWidth="true" hidden="false" outlineLevel="0" max="19" min="19" style="98" width="27.71"/>
    <col collapsed="false" customWidth="true" hidden="false" outlineLevel="0" max="20" min="20" style="98" width="12"/>
    <col collapsed="false" customWidth="true" hidden="false" outlineLevel="0" max="21" min="21" style="98" width="5"/>
    <col collapsed="false" customWidth="false" hidden="false" outlineLevel="0" max="16384" min="22" style="98" width="9.14"/>
  </cols>
  <sheetData>
    <row r="1" customFormat="false" ht="12.75" hidden="false" customHeight="false" outlineLevel="0" collapsed="false">
      <c r="A1" s="99"/>
      <c r="B1" s="99"/>
      <c r="C1" s="99"/>
      <c r="D1" s="99"/>
      <c r="E1" s="99"/>
      <c r="F1" s="99"/>
      <c r="G1" s="99"/>
      <c r="H1" s="99"/>
      <c r="I1" s="99"/>
      <c r="J1" s="99"/>
      <c r="K1" s="99"/>
      <c r="L1" s="99"/>
      <c r="M1" s="99"/>
      <c r="N1" s="99"/>
      <c r="O1" s="99"/>
      <c r="P1" s="99"/>
      <c r="Q1" s="99"/>
      <c r="R1" s="99"/>
      <c r="S1" s="99"/>
      <c r="T1" s="99"/>
      <c r="U1" s="99"/>
    </row>
    <row r="2" customFormat="false" ht="12.75" hidden="false" customHeight="false" outlineLevel="0" collapsed="false">
      <c r="A2" s="99"/>
      <c r="B2" s="99"/>
      <c r="C2" s="99"/>
      <c r="D2" s="99"/>
      <c r="E2" s="99"/>
      <c r="F2" s="99"/>
      <c r="G2" s="99"/>
      <c r="H2" s="99"/>
      <c r="I2" s="99"/>
      <c r="J2" s="99"/>
      <c r="K2" s="99"/>
      <c r="L2" s="99"/>
      <c r="M2" s="99"/>
      <c r="N2" s="99"/>
      <c r="O2" s="99"/>
      <c r="P2" s="99"/>
      <c r="Q2" s="99"/>
      <c r="R2" s="99"/>
      <c r="S2" s="99"/>
      <c r="T2" s="99"/>
      <c r="U2" s="99"/>
    </row>
    <row r="3" customFormat="false" ht="12.75" hidden="false" customHeight="false" outlineLevel="0" collapsed="false">
      <c r="A3" s="99"/>
      <c r="B3" s="99"/>
      <c r="C3" s="99"/>
      <c r="D3" s="99"/>
      <c r="E3" s="99"/>
      <c r="F3" s="99"/>
      <c r="G3" s="99"/>
      <c r="H3" s="99"/>
      <c r="I3" s="99"/>
      <c r="J3" s="99"/>
      <c r="K3" s="99"/>
      <c r="L3" s="99"/>
      <c r="M3" s="99"/>
      <c r="N3" s="99"/>
      <c r="O3" s="99"/>
      <c r="P3" s="99"/>
      <c r="Q3" s="99"/>
      <c r="R3" s="99"/>
      <c r="S3" s="99"/>
      <c r="T3" s="99"/>
      <c r="U3" s="99"/>
    </row>
    <row r="4" customFormat="false" ht="12.75" hidden="false" customHeight="false" outlineLevel="0" collapsed="false">
      <c r="A4" s="100"/>
      <c r="B4" s="100"/>
      <c r="C4" s="100"/>
      <c r="D4" s="100"/>
      <c r="E4" s="100"/>
      <c r="F4" s="100"/>
      <c r="G4" s="100"/>
      <c r="H4" s="100"/>
      <c r="I4" s="100"/>
      <c r="J4" s="100"/>
      <c r="K4" s="100"/>
      <c r="L4" s="100"/>
      <c r="M4" s="100"/>
      <c r="N4" s="100"/>
      <c r="O4" s="100"/>
      <c r="P4" s="100"/>
      <c r="Q4" s="100"/>
      <c r="R4" s="100"/>
      <c r="S4" s="100"/>
      <c r="T4" s="100"/>
      <c r="U4" s="100"/>
    </row>
    <row r="5" customFormat="false" ht="12.75" hidden="false" customHeight="false" outlineLevel="0" collapsed="false">
      <c r="A5" s="37"/>
      <c r="B5" s="40"/>
      <c r="C5" s="40"/>
      <c r="E5" s="101"/>
      <c r="F5" s="101"/>
      <c r="G5" s="102"/>
      <c r="H5" s="102"/>
      <c r="I5" s="102"/>
      <c r="J5" s="102"/>
      <c r="K5" s="40"/>
      <c r="L5" s="40"/>
      <c r="M5" s="40"/>
      <c r="N5" s="37"/>
      <c r="O5" s="40"/>
      <c r="P5" s="40"/>
      <c r="Q5" s="40"/>
      <c r="R5" s="40"/>
      <c r="S5" s="37"/>
      <c r="T5" s="37"/>
      <c r="U5" s="41"/>
    </row>
    <row r="6" customFormat="false" ht="12.75" hidden="false" customHeight="false" outlineLevel="0" collapsed="false">
      <c r="A6" s="37"/>
      <c r="B6" s="102"/>
      <c r="C6" s="103"/>
      <c r="D6" s="102" t="s">
        <v>71</v>
      </c>
      <c r="E6" s="102"/>
      <c r="F6" s="102"/>
      <c r="G6" s="104"/>
      <c r="H6" s="101" t="s">
        <v>72</v>
      </c>
      <c r="M6" s="40"/>
      <c r="N6" s="37"/>
      <c r="O6" s="40"/>
      <c r="P6" s="40"/>
      <c r="Q6" s="40"/>
      <c r="R6" s="40"/>
      <c r="S6" s="37"/>
      <c r="T6" s="37"/>
      <c r="U6" s="41"/>
    </row>
    <row r="7" s="41" customFormat="true" ht="12.75" hidden="false" customHeight="false" outlineLevel="0" collapsed="false">
      <c r="A7" s="37"/>
      <c r="B7" s="40"/>
      <c r="C7" s="40"/>
      <c r="E7" s="101"/>
      <c r="F7" s="101"/>
      <c r="G7" s="102"/>
      <c r="J7" s="102"/>
      <c r="K7" s="40"/>
      <c r="L7" s="40"/>
      <c r="M7" s="40"/>
      <c r="N7" s="37"/>
      <c r="O7" s="40"/>
      <c r="P7" s="40"/>
      <c r="Q7" s="40"/>
      <c r="R7" s="40"/>
      <c r="S7" s="37"/>
      <c r="T7" s="37"/>
    </row>
    <row r="8" customFormat="false" ht="12.75" hidden="false" customHeight="false" outlineLevel="0" collapsed="false">
      <c r="A8" s="41"/>
      <c r="B8" s="105" t="str">
        <f aca="false">'Register Map'!$B19</f>
        <v>0x00</v>
      </c>
      <c r="C8" s="105"/>
      <c r="D8" s="105"/>
      <c r="E8" s="105"/>
      <c r="F8" s="105" t="str">
        <f aca="false">'Register Map'!$B23</f>
        <v>0x01</v>
      </c>
      <c r="G8" s="105"/>
      <c r="H8" s="105"/>
      <c r="I8" s="105"/>
      <c r="J8" s="105" t="str">
        <f aca="false">'Register Map'!$B27</f>
        <v>0x02</v>
      </c>
      <c r="K8" s="105"/>
      <c r="L8" s="105"/>
      <c r="M8" s="105"/>
      <c r="N8" s="105" t="str">
        <f aca="false">'Register Map'!$B31</f>
        <v>0x03</v>
      </c>
      <c r="O8" s="105"/>
      <c r="P8" s="105"/>
      <c r="Q8" s="105"/>
      <c r="S8" s="106" t="s">
        <v>73</v>
      </c>
      <c r="Y8" s="41"/>
    </row>
    <row r="9" customFormat="false" ht="12.75" hidden="false" customHeight="false" outlineLevel="0" collapsed="false">
      <c r="A9" s="41"/>
      <c r="B9" s="107"/>
      <c r="C9" s="108"/>
      <c r="D9" s="109"/>
      <c r="E9" s="110"/>
      <c r="F9" s="111"/>
      <c r="G9" s="108"/>
      <c r="I9" s="112"/>
      <c r="J9" s="113"/>
      <c r="K9" s="108"/>
      <c r="M9" s="112"/>
      <c r="N9" s="114"/>
      <c r="O9" s="79"/>
      <c r="P9" s="115"/>
      <c r="Q9" s="112"/>
      <c r="S9" s="106"/>
      <c r="Y9" s="41"/>
    </row>
    <row r="10" customFormat="false" ht="12.75" hidden="false" customHeight="false" outlineLevel="0" collapsed="false">
      <c r="A10" s="41"/>
      <c r="B10" s="107"/>
      <c r="C10" s="116" t="str">
        <f aca="false">'Register Map'!E21</f>
        <v> AINP = AIN1, AINN = AIN2</v>
      </c>
      <c r="D10" s="117" t="n">
        <f aca="false">VLOOKUP(C10,C16:D31,2,FALSE())</f>
        <v>11</v>
      </c>
      <c r="E10" s="110"/>
      <c r="F10" s="118"/>
      <c r="G10" s="116" t="str">
        <f aca="false">IFERROR('Register Map'!E25,IF(G24=G29,G68,IF(G24=G30,G76,G60)))</f>
        <v> 20 SPS (default)</v>
      </c>
      <c r="H10" s="117" t="e">
        <f aca="false">VLOOKUP(G10,G15:H22,2,FALSE())</f>
        <v>#N/A</v>
      </c>
      <c r="I10" s="112"/>
      <c r="J10" s="110"/>
      <c r="K10" s="116" t="str">
        <f aca="false">'Register Map'!E29</f>
        <v>External reference using REFP0 and REFN0 inputs</v>
      </c>
      <c r="L10" s="117" t="n">
        <f aca="false">VLOOKUP(K10,K14:L22,2,FALSE())</f>
        <v>1</v>
      </c>
      <c r="M10" s="112"/>
      <c r="N10" s="114"/>
      <c r="O10" s="116" t="str">
        <f aca="false">'Register Map'!E33</f>
        <v>IDAC1 connected to REFP0</v>
      </c>
      <c r="P10" s="117" t="n">
        <f aca="false">VLOOKUP(O10,O15:P22,2,FALSE())</f>
        <v>101</v>
      </c>
      <c r="Q10" s="112"/>
      <c r="S10" s="98" t="s">
        <v>74</v>
      </c>
      <c r="Y10" s="41"/>
    </row>
    <row r="11" customFormat="false" ht="12.75" hidden="false" customHeight="false" outlineLevel="0" collapsed="false">
      <c r="A11" s="41"/>
      <c r="B11" s="107"/>
      <c r="C11" s="119" t="str">
        <f aca="false">'Register Map'!E19</f>
        <v>MUX[3:0]</v>
      </c>
      <c r="D11" s="120" t="n">
        <f aca="false">IF(ISODD(BIN2DEC(D10)/2^2),1,0)</f>
        <v>0</v>
      </c>
      <c r="E11" s="110"/>
      <c r="F11" s="121"/>
      <c r="G11" s="122" t="str">
        <f aca="false">'Register Map'!E$23</f>
        <v>DR[2:0]</v>
      </c>
      <c r="H11" s="123" t="e">
        <f aca="false">IF(ISODD(BIN2DEC(H10)/2^2),1,0)</f>
        <v>#N/A</v>
      </c>
      <c r="I11" s="112"/>
      <c r="J11" s="110"/>
      <c r="K11" s="124" t="str">
        <f aca="false">'Register Map'!E27</f>
        <v>VREF[1:0]</v>
      </c>
      <c r="L11" s="125" t="n">
        <f aca="false">IF(ISODD(BIN2DEC(L10)/2^2),1,0)</f>
        <v>0</v>
      </c>
      <c r="M11" s="112"/>
      <c r="N11" s="114"/>
      <c r="O11" s="124" t="str">
        <f aca="false">'Register Map'!E31</f>
        <v>I1MUX[2:0]</v>
      </c>
      <c r="P11" s="125" t="n">
        <f aca="false">IF(ISODD(BIN2DEC(P10)/2^2),1,0)</f>
        <v>1</v>
      </c>
      <c r="Q11" s="112"/>
      <c r="S11" s="98" t="s">
        <v>75</v>
      </c>
      <c r="Y11" s="41"/>
    </row>
    <row r="12" customFormat="false" ht="12.75" hidden="false" customHeight="false" outlineLevel="0" collapsed="false">
      <c r="A12" s="41"/>
      <c r="B12" s="126"/>
      <c r="C12" s="127" t="s">
        <v>76</v>
      </c>
      <c r="D12" s="128" t="n">
        <f aca="false">IF(ISODD(BIN2DEC(D10)/2^3),1,0)</f>
        <v>0</v>
      </c>
      <c r="E12" s="110"/>
      <c r="F12" s="118"/>
      <c r="G12" s="129" t="s">
        <v>77</v>
      </c>
      <c r="H12" s="130" t="e">
        <f aca="false">IF(ISODD(BIN2DEC(H10)/2^2),1,0)</f>
        <v>#N/A</v>
      </c>
      <c r="I12" s="112"/>
      <c r="J12" s="110"/>
      <c r="K12" s="131" t="s">
        <v>78</v>
      </c>
      <c r="L12" s="132" t="n">
        <f aca="false">IF(ISODD(BIN2DEC(L10)/2^1),1,0)</f>
        <v>0</v>
      </c>
      <c r="M12" s="112"/>
      <c r="N12" s="114"/>
      <c r="O12" s="129" t="s">
        <v>77</v>
      </c>
      <c r="P12" s="130" t="n">
        <f aca="false">IF(ISODD(BIN2DEC(P10)/2^2),1,0)</f>
        <v>1</v>
      </c>
      <c r="Q12" s="112"/>
      <c r="Y12" s="41"/>
    </row>
    <row r="13" customFormat="false" ht="12.75" hidden="false" customHeight="false" outlineLevel="0" collapsed="false">
      <c r="A13" s="41"/>
      <c r="B13" s="107"/>
      <c r="C13" s="133" t="s">
        <v>77</v>
      </c>
      <c r="D13" s="134" t="n">
        <f aca="false">IF(ISODD(BIN2DEC(D10)/2^2),1,0)</f>
        <v>0</v>
      </c>
      <c r="E13" s="110"/>
      <c r="F13" s="118"/>
      <c r="G13" s="133" t="s">
        <v>78</v>
      </c>
      <c r="H13" s="134" t="e">
        <f aca="false">IF(ISODD(BIN2DEC(H10)/2^1),1,0)</f>
        <v>#N/A</v>
      </c>
      <c r="I13" s="112"/>
      <c r="J13" s="110"/>
      <c r="K13" s="135" t="s">
        <v>79</v>
      </c>
      <c r="L13" s="136" t="n">
        <f aca="false">IF(ISODD(BIN2DEC(L10)/2^0),1,0)</f>
        <v>1</v>
      </c>
      <c r="M13" s="112"/>
      <c r="N13" s="114"/>
      <c r="O13" s="137" t="s">
        <v>78</v>
      </c>
      <c r="P13" s="138" t="n">
        <f aca="false">IF(ISODD(BIN2DEC(P10)/2^1),1,0)</f>
        <v>0</v>
      </c>
      <c r="Q13" s="112"/>
      <c r="S13" s="98" t="s">
        <v>80</v>
      </c>
      <c r="Y13" s="41"/>
    </row>
    <row r="14" customFormat="false" ht="12.75" hidden="false" customHeight="false" outlineLevel="0" collapsed="false">
      <c r="A14" s="41"/>
      <c r="B14" s="107"/>
      <c r="C14" s="133" t="s">
        <v>78</v>
      </c>
      <c r="D14" s="134" t="n">
        <f aca="false">IF(ISODD(BIN2DEC(D10)/2^1),1,0)</f>
        <v>1</v>
      </c>
      <c r="E14" s="110"/>
      <c r="F14" s="118"/>
      <c r="G14" s="137" t="s">
        <v>79</v>
      </c>
      <c r="H14" s="138" t="e">
        <f aca="false">IF(ISODD(BIN2DEC(H10)/2^0),1,0)</f>
        <v>#N/A</v>
      </c>
      <c r="I14" s="112"/>
      <c r="J14" s="110"/>
      <c r="K14" s="139" t="s">
        <v>81</v>
      </c>
      <c r="L14" s="140" t="n">
        <v>0</v>
      </c>
      <c r="M14" s="112"/>
      <c r="N14" s="114"/>
      <c r="O14" s="135" t="s">
        <v>79</v>
      </c>
      <c r="P14" s="136" t="n">
        <f aca="false">IF(ISODD(BIN2DEC(P10)/2^0),1,0)</f>
        <v>1</v>
      </c>
      <c r="Q14" s="112"/>
      <c r="S14" s="98" t="s">
        <v>82</v>
      </c>
      <c r="Y14" s="41"/>
    </row>
    <row r="15" customFormat="false" ht="12.75" hidden="false" customHeight="false" outlineLevel="0" collapsed="false">
      <c r="A15" s="41"/>
      <c r="B15" s="107"/>
      <c r="C15" s="133" t="s">
        <v>79</v>
      </c>
      <c r="D15" s="136" t="n">
        <f aca="false">IF(ISODD(BIN2DEC(D10)/2^0),1,0)</f>
        <v>1</v>
      </c>
      <c r="E15" s="110"/>
      <c r="F15" s="118"/>
      <c r="G15" s="141" t="str">
        <f aca="false">IF($G$24=$G$29,G68,IF($G$24=$G$30,G76,G60))</f>
        <v> 5 SPS (default)</v>
      </c>
      <c r="H15" s="142" t="n">
        <v>0</v>
      </c>
      <c r="I15" s="112"/>
      <c r="J15" s="110"/>
      <c r="K15" s="143" t="s">
        <v>58</v>
      </c>
      <c r="L15" s="144" t="n">
        <v>1</v>
      </c>
      <c r="M15" s="112"/>
      <c r="N15" s="114"/>
      <c r="O15" s="139" t="s">
        <v>83</v>
      </c>
      <c r="P15" s="140" t="n">
        <v>0</v>
      </c>
      <c r="Q15" s="112"/>
      <c r="Y15" s="41"/>
    </row>
    <row r="16" customFormat="false" ht="12.75" hidden="false" customHeight="false" outlineLevel="0" collapsed="false">
      <c r="A16" s="41"/>
      <c r="B16" s="145"/>
      <c r="C16" s="141" t="s">
        <v>84</v>
      </c>
      <c r="D16" s="146" t="n">
        <v>0</v>
      </c>
      <c r="E16" s="110"/>
      <c r="F16" s="147"/>
      <c r="G16" s="143" t="str">
        <f aca="false">IF($G$24=$G$29,G69,IF($G$24=$G$30,G77,G61))</f>
        <v> 11.25 SPS</v>
      </c>
      <c r="H16" s="144" t="n">
        <v>1</v>
      </c>
      <c r="I16" s="112"/>
      <c r="J16" s="110"/>
      <c r="K16" s="143" t="s">
        <v>85</v>
      </c>
      <c r="L16" s="144" t="n">
        <v>10</v>
      </c>
      <c r="M16" s="112"/>
      <c r="N16" s="114"/>
      <c r="O16" s="143" t="s">
        <v>86</v>
      </c>
      <c r="P16" s="144" t="n">
        <v>1</v>
      </c>
      <c r="Q16" s="112"/>
      <c r="S16" s="98" t="s">
        <v>87</v>
      </c>
      <c r="Y16" s="41"/>
    </row>
    <row r="17" customFormat="false" ht="12.75" hidden="false" customHeight="false" outlineLevel="0" collapsed="false">
      <c r="B17" s="118"/>
      <c r="C17" s="143" t="s">
        <v>88</v>
      </c>
      <c r="D17" s="148" t="n">
        <v>1</v>
      </c>
      <c r="E17" s="110"/>
      <c r="F17" s="118"/>
      <c r="G17" s="143" t="str">
        <f aca="false">IF($G$24=$G$29,G70,IF($G$24=$G$30,G78,G62))</f>
        <v> 22.5 SPS</v>
      </c>
      <c r="H17" s="144" t="n">
        <v>10</v>
      </c>
      <c r="I17" s="112"/>
      <c r="J17" s="110"/>
      <c r="K17" s="149" t="s">
        <v>89</v>
      </c>
      <c r="L17" s="150" t="n">
        <v>11</v>
      </c>
      <c r="M17" s="112"/>
      <c r="N17" s="114"/>
      <c r="O17" s="143" t="s">
        <v>90</v>
      </c>
      <c r="P17" s="144" t="n">
        <v>10</v>
      </c>
      <c r="Q17" s="112"/>
      <c r="S17" s="98" t="s">
        <v>91</v>
      </c>
      <c r="Y17" s="41"/>
    </row>
    <row r="18" customFormat="false" ht="12.75" hidden="false" customHeight="false" outlineLevel="0" collapsed="false">
      <c r="B18" s="118"/>
      <c r="C18" s="143" t="s">
        <v>92</v>
      </c>
      <c r="D18" s="148" t="n">
        <v>10</v>
      </c>
      <c r="E18" s="110"/>
      <c r="F18" s="121"/>
      <c r="G18" s="143" t="str">
        <f aca="false">IF($G$24=$G$29,G71,IF($G$24=$G$30,G79,G63))</f>
        <v> 44 SPS</v>
      </c>
      <c r="H18" s="144" t="n">
        <v>11</v>
      </c>
      <c r="I18" s="112"/>
      <c r="J18" s="110"/>
      <c r="K18" s="38"/>
      <c r="L18" s="38"/>
      <c r="M18" s="112"/>
      <c r="N18" s="114"/>
      <c r="O18" s="143" t="s">
        <v>93</v>
      </c>
      <c r="P18" s="144" t="n">
        <v>11</v>
      </c>
      <c r="Q18" s="112"/>
      <c r="Y18" s="41"/>
    </row>
    <row r="19" customFormat="false" ht="12.75" hidden="false" customHeight="false" outlineLevel="0" collapsed="false">
      <c r="B19" s="118"/>
      <c r="C19" s="143" t="s">
        <v>39</v>
      </c>
      <c r="D19" s="148" t="n">
        <v>11</v>
      </c>
      <c r="E19" s="110"/>
      <c r="F19" s="118"/>
      <c r="G19" s="143" t="str">
        <f aca="false">IF($G$24=$G$29,G72,IF($G$24=$G$30,G80,G64))</f>
        <v> 82.5 SPS</v>
      </c>
      <c r="H19" s="144" t="n">
        <v>100</v>
      </c>
      <c r="I19" s="112"/>
      <c r="J19" s="110"/>
      <c r="K19" s="116" t="str">
        <f aca="false">'Register Map'!G29</f>
        <v>No 50-Hz or 60-Hz rejection (default)</v>
      </c>
      <c r="L19" s="117" t="n">
        <f aca="false">VLOOKUP(K19,K23:L31,2,FALSE())</f>
        <v>0</v>
      </c>
      <c r="M19" s="112"/>
      <c r="N19" s="114"/>
      <c r="O19" s="143" t="s">
        <v>94</v>
      </c>
      <c r="P19" s="144" t="n">
        <v>100</v>
      </c>
      <c r="Q19" s="112"/>
      <c r="S19" s="98" t="s">
        <v>95</v>
      </c>
      <c r="Y19" s="41"/>
    </row>
    <row r="20" customFormat="false" ht="12.75" hidden="false" customHeight="false" outlineLevel="0" collapsed="false">
      <c r="B20" s="118"/>
      <c r="C20" s="143" t="s">
        <v>96</v>
      </c>
      <c r="D20" s="148" t="n">
        <v>100</v>
      </c>
      <c r="E20" s="110"/>
      <c r="F20" s="118"/>
      <c r="G20" s="143" t="str">
        <f aca="false">IF($G$24=$G$29,G73,IF($G$24=$G$30,G81,G65))</f>
        <v> 150 SPS</v>
      </c>
      <c r="H20" s="144" t="n">
        <v>101</v>
      </c>
      <c r="I20" s="112"/>
      <c r="J20" s="110"/>
      <c r="K20" s="124" t="str">
        <f aca="false">'Register Map'!G27</f>
        <v>50/60[1:0]</v>
      </c>
      <c r="L20" s="125" t="n">
        <f aca="false">IF(ISODD(BIN2DEC(L19)/2^2),1,0)</f>
        <v>0</v>
      </c>
      <c r="M20" s="112"/>
      <c r="N20" s="114"/>
      <c r="O20" s="143" t="s">
        <v>67</v>
      </c>
      <c r="P20" s="144" t="n">
        <v>101</v>
      </c>
      <c r="Q20" s="112"/>
      <c r="S20" s="151" t="n">
        <v>32</v>
      </c>
      <c r="Y20" s="41"/>
    </row>
    <row r="21" customFormat="false" ht="12.75" hidden="false" customHeight="false" outlineLevel="0" collapsed="false">
      <c r="B21" s="118"/>
      <c r="C21" s="143" t="s">
        <v>97</v>
      </c>
      <c r="D21" s="148" t="n">
        <v>101</v>
      </c>
      <c r="E21" s="110"/>
      <c r="F21" s="118"/>
      <c r="G21" s="143" t="str">
        <f aca="false">IF($G$24=$G$29,G74,IF($G$24=$G$30,G82,G66))</f>
        <v> 250 SPS</v>
      </c>
      <c r="H21" s="144" t="n">
        <v>110</v>
      </c>
      <c r="I21" s="112"/>
      <c r="J21" s="110"/>
      <c r="K21" s="131" t="s">
        <v>78</v>
      </c>
      <c r="L21" s="132" t="n">
        <f aca="false">IF(ISODD(BIN2DEC(L19)/2^1),1,0)</f>
        <v>0</v>
      </c>
      <c r="M21" s="112"/>
      <c r="N21" s="114"/>
      <c r="O21" s="143" t="s">
        <v>98</v>
      </c>
      <c r="P21" s="144" t="n">
        <v>110</v>
      </c>
      <c r="Q21" s="112"/>
      <c r="Y21" s="41"/>
    </row>
    <row r="22" customFormat="false" ht="12.75" hidden="false" customHeight="false" outlineLevel="0" collapsed="false">
      <c r="B22" s="118"/>
      <c r="C22" s="143" t="s">
        <v>99</v>
      </c>
      <c r="D22" s="148" t="n">
        <v>110</v>
      </c>
      <c r="E22" s="110"/>
      <c r="F22" s="111"/>
      <c r="G22" s="149" t="n">
        <f aca="false">IF($G$24=$G$29,G75,IF($G$24=$G$30,G83,G67))</f>
        <v>0</v>
      </c>
      <c r="H22" s="150" t="n">
        <v>111</v>
      </c>
      <c r="I22" s="112"/>
      <c r="J22" s="113"/>
      <c r="K22" s="135" t="s">
        <v>79</v>
      </c>
      <c r="L22" s="136" t="n">
        <f aca="false">IF(ISODD(BIN2DEC(L19)/2^0),1,0)</f>
        <v>0</v>
      </c>
      <c r="M22" s="112"/>
      <c r="N22" s="114"/>
      <c r="O22" s="149" t="s">
        <v>70</v>
      </c>
      <c r="P22" s="150" t="n">
        <v>111</v>
      </c>
      <c r="Q22" s="112"/>
      <c r="S22" s="98" t="s">
        <v>100</v>
      </c>
      <c r="Y22" s="41"/>
    </row>
    <row r="23" customFormat="false" ht="12.75" hidden="false" customHeight="false" outlineLevel="0" collapsed="false">
      <c r="B23" s="118"/>
      <c r="C23" s="143" t="s">
        <v>101</v>
      </c>
      <c r="D23" s="148" t="n">
        <v>111</v>
      </c>
      <c r="E23" s="110"/>
      <c r="F23" s="111"/>
      <c r="G23" s="79"/>
      <c r="H23" s="152"/>
      <c r="I23" s="112"/>
      <c r="J23" s="110"/>
      <c r="K23" s="139" t="s">
        <v>59</v>
      </c>
      <c r="L23" s="140" t="n">
        <v>0</v>
      </c>
      <c r="M23" s="112"/>
      <c r="N23" s="114"/>
      <c r="O23" s="114"/>
      <c r="P23" s="114"/>
      <c r="Q23" s="112"/>
      <c r="S23" s="151" t="n">
        <v>64</v>
      </c>
    </row>
    <row r="24" customFormat="false" ht="12.75" hidden="false" customHeight="false" outlineLevel="0" collapsed="false">
      <c r="B24" s="118"/>
      <c r="C24" s="143" t="s">
        <v>102</v>
      </c>
      <c r="D24" s="148" t="n">
        <v>1000</v>
      </c>
      <c r="E24" s="110"/>
      <c r="F24" s="111"/>
      <c r="G24" s="153" t="str">
        <f aca="false">'Register Map'!H25</f>
        <v>Duty-cycle mode</v>
      </c>
      <c r="H24" s="154" t="n">
        <f aca="false">VLOOKUP(G24,G28:H36,2,FALSE())</f>
        <v>1</v>
      </c>
      <c r="I24" s="112"/>
      <c r="J24" s="110"/>
      <c r="K24" s="143" t="s">
        <v>103</v>
      </c>
      <c r="L24" s="144" t="n">
        <v>1</v>
      </c>
      <c r="M24" s="112"/>
      <c r="N24" s="114"/>
      <c r="O24" s="116" t="str">
        <f aca="false">'Register Map'!H33</f>
        <v>IDAC2 connected to AIN0/REFP1</v>
      </c>
      <c r="P24" s="117" t="n">
        <f aca="false">VLOOKUP(O24,O29:P36,2,FALSE())</f>
        <v>1</v>
      </c>
      <c r="Q24" s="112"/>
    </row>
    <row r="25" customFormat="false" ht="12.75" hidden="false" customHeight="false" outlineLevel="0" collapsed="false">
      <c r="B25" s="118"/>
      <c r="C25" s="143" t="s">
        <v>104</v>
      </c>
      <c r="D25" s="148" t="n">
        <v>1001</v>
      </c>
      <c r="E25" s="110"/>
      <c r="F25" s="111"/>
      <c r="G25" s="155" t="str">
        <f aca="false">'Register Map'!H$23</f>
        <v>MODE[1:0]</v>
      </c>
      <c r="H25" s="120" t="n">
        <f aca="false">IF(ISODD(BIN2DEC(H24)/2^2),1,0)</f>
        <v>0</v>
      </c>
      <c r="I25" s="112"/>
      <c r="J25" s="110"/>
      <c r="K25" s="143" t="s">
        <v>105</v>
      </c>
      <c r="L25" s="144" t="n">
        <v>10</v>
      </c>
      <c r="M25" s="112"/>
      <c r="N25" s="114"/>
      <c r="O25" s="124" t="str">
        <f aca="false">'Register Map'!H31</f>
        <v>I2MUX[2:0]</v>
      </c>
      <c r="P25" s="125" t="n">
        <f aca="false">IF(ISODD(BIN2DEC(P24)/2^2),1,0)</f>
        <v>0</v>
      </c>
      <c r="Q25" s="112"/>
    </row>
    <row r="26" customFormat="false" ht="12.75" hidden="false" customHeight="false" outlineLevel="0" collapsed="false">
      <c r="B26" s="118"/>
      <c r="C26" s="143" t="s">
        <v>106</v>
      </c>
      <c r="D26" s="148" t="n">
        <v>1010</v>
      </c>
      <c r="E26" s="110"/>
      <c r="F26" s="111"/>
      <c r="G26" s="127" t="s">
        <v>78</v>
      </c>
      <c r="H26" s="128" t="n">
        <f aca="false">IF(ISODD(BIN2DEC(H24)/2^1),1,0)</f>
        <v>0</v>
      </c>
      <c r="I26" s="112"/>
      <c r="J26" s="110"/>
      <c r="K26" s="149" t="s">
        <v>107</v>
      </c>
      <c r="L26" s="150" t="n">
        <v>11</v>
      </c>
      <c r="M26" s="112"/>
      <c r="N26" s="110"/>
      <c r="O26" s="129" t="s">
        <v>77</v>
      </c>
      <c r="P26" s="130" t="n">
        <f aca="false">IF(ISODD(BIN2DEC(P24)/2^2),1,0)</f>
        <v>0</v>
      </c>
      <c r="Q26" s="112"/>
      <c r="S26" s="106" t="s">
        <v>108</v>
      </c>
    </row>
    <row r="27" customFormat="false" ht="12.75" hidden="false" customHeight="false" outlineLevel="0" collapsed="false">
      <c r="B27" s="118"/>
      <c r="C27" s="143" t="s">
        <v>109</v>
      </c>
      <c r="D27" s="148" t="n">
        <v>1011</v>
      </c>
      <c r="E27" s="110"/>
      <c r="F27" s="111"/>
      <c r="G27" s="135" t="s">
        <v>79</v>
      </c>
      <c r="H27" s="136" t="n">
        <f aca="false">IF(ISODD(BIN2DEC(H24)/2^0),1,0)</f>
        <v>1</v>
      </c>
      <c r="I27" s="112"/>
      <c r="J27" s="110"/>
      <c r="K27" s="38"/>
      <c r="L27" s="38"/>
      <c r="M27" s="112"/>
      <c r="N27" s="110"/>
      <c r="O27" s="137" t="s">
        <v>78</v>
      </c>
      <c r="P27" s="138" t="n">
        <f aca="false">IF(ISODD(BIN2DEC(P24)/2^1),1,0)</f>
        <v>0</v>
      </c>
      <c r="Q27" s="112"/>
      <c r="S27" s="98" t="s">
        <v>110</v>
      </c>
    </row>
    <row r="28" customFormat="false" ht="12.75" hidden="false" customHeight="false" outlineLevel="0" collapsed="false">
      <c r="B28" s="118"/>
      <c r="C28" s="143" t="s">
        <v>111</v>
      </c>
      <c r="D28" s="148" t="n">
        <v>1100</v>
      </c>
      <c r="E28" s="110"/>
      <c r="F28" s="111"/>
      <c r="G28" s="141" t="s">
        <v>112</v>
      </c>
      <c r="H28" s="142" t="n">
        <v>0</v>
      </c>
      <c r="I28" s="112"/>
      <c r="J28" s="110"/>
      <c r="K28" s="116" t="str">
        <f aca="false">'Register Map'!I29</f>
        <v>Switch is always open (default)</v>
      </c>
      <c r="L28" s="156" t="n">
        <f aca="false">VLOOKUP(K28,K30:L31,2,FALSE())</f>
        <v>0</v>
      </c>
      <c r="M28" s="112"/>
      <c r="N28" s="110"/>
      <c r="O28" s="135" t="s">
        <v>79</v>
      </c>
      <c r="P28" s="136" t="n">
        <f aca="false">IF(ISODD(BIN2DEC(P24)/2^0),1,0)</f>
        <v>1</v>
      </c>
      <c r="Q28" s="112"/>
      <c r="S28" s="98" t="s">
        <v>113</v>
      </c>
    </row>
    <row r="29" customFormat="false" ht="12.75" hidden="false" customHeight="false" outlineLevel="0" collapsed="false">
      <c r="B29" s="118"/>
      <c r="C29" s="143" t="s">
        <v>114</v>
      </c>
      <c r="D29" s="148" t="n">
        <v>1101</v>
      </c>
      <c r="E29" s="110"/>
      <c r="F29" s="111"/>
      <c r="G29" s="143" t="s">
        <v>49</v>
      </c>
      <c r="H29" s="144" t="n">
        <v>1</v>
      </c>
      <c r="I29" s="112"/>
      <c r="J29" s="110"/>
      <c r="K29" s="155" t="str">
        <f aca="false">'Register Map'!I27</f>
        <v>PSW</v>
      </c>
      <c r="L29" s="157" t="n">
        <f aca="false">IF(ISODD(BIN2DEC(L28)/2^0),1,0)</f>
        <v>0</v>
      </c>
      <c r="M29" s="112"/>
      <c r="N29" s="110"/>
      <c r="O29" s="139" t="s">
        <v>115</v>
      </c>
      <c r="P29" s="140" t="n">
        <v>0</v>
      </c>
      <c r="Q29" s="112"/>
      <c r="S29" s="98" t="s">
        <v>116</v>
      </c>
    </row>
    <row r="30" customFormat="false" ht="12.75" hidden="false" customHeight="false" outlineLevel="0" collapsed="false">
      <c r="B30" s="118"/>
      <c r="C30" s="143" t="s">
        <v>117</v>
      </c>
      <c r="D30" s="148" t="n">
        <v>1110</v>
      </c>
      <c r="E30" s="110"/>
      <c r="F30" s="111"/>
      <c r="G30" s="143" t="s">
        <v>118</v>
      </c>
      <c r="H30" s="144" t="n">
        <v>10</v>
      </c>
      <c r="I30" s="112"/>
      <c r="J30" s="113"/>
      <c r="K30" s="141" t="s">
        <v>60</v>
      </c>
      <c r="L30" s="158" t="n">
        <v>0</v>
      </c>
      <c r="M30" s="112"/>
      <c r="N30" s="159"/>
      <c r="O30" s="143" t="s">
        <v>68</v>
      </c>
      <c r="P30" s="144" t="n">
        <v>1</v>
      </c>
      <c r="Q30" s="112"/>
      <c r="S30" s="98" t="s">
        <v>119</v>
      </c>
    </row>
    <row r="31" customFormat="false" ht="24" hidden="false" customHeight="false" outlineLevel="0" collapsed="false">
      <c r="B31" s="107"/>
      <c r="C31" s="149" t="s">
        <v>120</v>
      </c>
      <c r="D31" s="160" t="n">
        <v>1111</v>
      </c>
      <c r="E31" s="110"/>
      <c r="F31" s="111"/>
      <c r="G31" s="149" t="s">
        <v>70</v>
      </c>
      <c r="H31" s="150" t="n">
        <v>11</v>
      </c>
      <c r="I31" s="112"/>
      <c r="J31" s="110"/>
      <c r="K31" s="161" t="s">
        <v>121</v>
      </c>
      <c r="L31" s="162" t="n">
        <v>1</v>
      </c>
      <c r="M31" s="112"/>
      <c r="N31" s="114"/>
      <c r="O31" s="143" t="s">
        <v>122</v>
      </c>
      <c r="P31" s="144" t="n">
        <v>10</v>
      </c>
      <c r="Q31" s="112"/>
    </row>
    <row r="32" customFormat="false" ht="12.75" hidden="false" customHeight="false" outlineLevel="0" collapsed="false">
      <c r="B32" s="118"/>
      <c r="E32" s="110"/>
      <c r="F32" s="111"/>
      <c r="I32" s="112"/>
      <c r="J32" s="110"/>
      <c r="K32" s="108"/>
      <c r="M32" s="112"/>
      <c r="N32" s="114"/>
      <c r="O32" s="143" t="s">
        <v>123</v>
      </c>
      <c r="P32" s="144" t="n">
        <v>11</v>
      </c>
      <c r="Q32" s="112"/>
    </row>
    <row r="33" customFormat="false" ht="12.75" hidden="false" customHeight="false" outlineLevel="0" collapsed="false">
      <c r="B33" s="118"/>
      <c r="C33" s="116" t="str">
        <f aca="false">'Register Map'!I21</f>
        <v>128 V/V</v>
      </c>
      <c r="D33" s="117" t="n">
        <f aca="false">VLOOKUP(C33,C38:D45,2,FALSE())</f>
        <v>111</v>
      </c>
      <c r="E33" s="110"/>
      <c r="F33" s="111"/>
      <c r="G33" s="116" t="str">
        <f aca="false">'Register Map'!J25</f>
        <v> Single-shot mode (default)</v>
      </c>
      <c r="H33" s="156" t="n">
        <f aca="false">VLOOKUP(G33,G35:H36,2,FALSE())</f>
        <v>0</v>
      </c>
      <c r="I33" s="112"/>
      <c r="J33" s="110"/>
      <c r="K33" s="116" t="str">
        <f aca="false">'Register Map'!J29</f>
        <v>1500 µA</v>
      </c>
      <c r="L33" s="154" t="n">
        <f aca="false">VLOOKUP(K33,K38:L45,2,FALSE())</f>
        <v>111</v>
      </c>
      <c r="M33" s="112"/>
      <c r="N33" s="114"/>
      <c r="O33" s="143" t="s">
        <v>124</v>
      </c>
      <c r="P33" s="144" t="n">
        <v>100</v>
      </c>
      <c r="Q33" s="112"/>
    </row>
    <row r="34" customFormat="false" ht="12.75" hidden="false" customHeight="false" outlineLevel="0" collapsed="false">
      <c r="B34" s="118"/>
      <c r="C34" s="155" t="str">
        <f aca="false">'Register Map'!I19</f>
        <v>GAIN[2:0]</v>
      </c>
      <c r="D34" s="120" t="n">
        <f aca="false">IF(ISODD(BIN2DEC(D33)/2^2),1,0)</f>
        <v>1</v>
      </c>
      <c r="E34" s="110"/>
      <c r="F34" s="111"/>
      <c r="G34" s="122" t="str">
        <f aca="false">'Register Map'!J$23</f>
        <v>CM</v>
      </c>
      <c r="H34" s="157" t="n">
        <f aca="false">IF(ISODD(BIN2DEC(H33)/2^0),1,0)</f>
        <v>0</v>
      </c>
      <c r="I34" s="112"/>
      <c r="J34" s="110"/>
      <c r="K34" s="135" t="str">
        <f aca="false">'Register Map'!J27</f>
        <v>IDAC[2:0]</v>
      </c>
      <c r="L34" s="136" t="n">
        <f aca="false">IF(ISODD(BIN2DEC(L33)/2^2),1,0)</f>
        <v>1</v>
      </c>
      <c r="M34" s="112"/>
      <c r="N34" s="114"/>
      <c r="O34" s="143" t="s">
        <v>125</v>
      </c>
      <c r="P34" s="144" t="n">
        <v>101</v>
      </c>
      <c r="Q34" s="112"/>
    </row>
    <row r="35" customFormat="false" ht="12.75" hidden="false" customHeight="false" outlineLevel="0" collapsed="false">
      <c r="B35" s="118"/>
      <c r="C35" s="129" t="s">
        <v>77</v>
      </c>
      <c r="D35" s="130" t="n">
        <f aca="false">IF(ISODD(BIN2DEC(D33)/2^2),1,0)</f>
        <v>1</v>
      </c>
      <c r="E35" s="110"/>
      <c r="F35" s="111"/>
      <c r="G35" s="141" t="s">
        <v>50</v>
      </c>
      <c r="H35" s="158" t="n">
        <v>0</v>
      </c>
      <c r="I35" s="112"/>
      <c r="J35" s="110"/>
      <c r="K35" s="127" t="s">
        <v>77</v>
      </c>
      <c r="L35" s="128" t="n">
        <f aca="false">IF(ISODD(BIN2DEC(L33)/2^2),1,0)</f>
        <v>1</v>
      </c>
      <c r="M35" s="112"/>
      <c r="N35" s="114"/>
      <c r="O35" s="143" t="s">
        <v>126</v>
      </c>
      <c r="P35" s="144" t="n">
        <v>110</v>
      </c>
      <c r="Q35" s="112"/>
    </row>
    <row r="36" customFormat="false" ht="12.75" hidden="false" customHeight="false" outlineLevel="0" collapsed="false">
      <c r="B36" s="118"/>
      <c r="C36" s="137" t="s">
        <v>78</v>
      </c>
      <c r="D36" s="134" t="n">
        <f aca="false">IF(ISODD(BIN2DEC(D33)/2^1),1,0)</f>
        <v>1</v>
      </c>
      <c r="E36" s="110"/>
      <c r="F36" s="111"/>
      <c r="G36" s="149" t="s">
        <v>127</v>
      </c>
      <c r="H36" s="162" t="n">
        <v>1</v>
      </c>
      <c r="I36" s="112"/>
      <c r="J36" s="110"/>
      <c r="K36" s="133" t="s">
        <v>78</v>
      </c>
      <c r="L36" s="134" t="n">
        <f aca="false">IF(ISODD(BIN2DEC(L33)/2^1),1,0)</f>
        <v>1</v>
      </c>
      <c r="M36" s="112"/>
      <c r="N36" s="114"/>
      <c r="O36" s="149" t="s">
        <v>70</v>
      </c>
      <c r="P36" s="150" t="n">
        <v>111</v>
      </c>
      <c r="Q36" s="112"/>
    </row>
    <row r="37" customFormat="false" ht="12.75" hidden="false" customHeight="false" outlineLevel="0" collapsed="false">
      <c r="B37" s="118"/>
      <c r="C37" s="135" t="s">
        <v>79</v>
      </c>
      <c r="D37" s="136" t="n">
        <f aca="false">IF(ISODD(BIN2DEC(D33)/2^0),1,0)</f>
        <v>1</v>
      </c>
      <c r="E37" s="110"/>
      <c r="F37" s="111"/>
      <c r="G37" s="114"/>
      <c r="H37" s="110"/>
      <c r="I37" s="112"/>
      <c r="J37" s="110"/>
      <c r="K37" s="135" t="s">
        <v>79</v>
      </c>
      <c r="L37" s="136" t="n">
        <f aca="false">IF(ISODD(BIN2DEC(L33)/2^0),1,0)</f>
        <v>1</v>
      </c>
      <c r="M37" s="112"/>
      <c r="N37" s="114"/>
      <c r="O37" s="79"/>
      <c r="P37" s="152"/>
      <c r="Q37" s="112"/>
    </row>
    <row r="38" customFormat="false" ht="12.75" hidden="false" customHeight="false" outlineLevel="0" collapsed="false">
      <c r="B38" s="118"/>
      <c r="C38" s="139" t="s">
        <v>128</v>
      </c>
      <c r="D38" s="140" t="n">
        <v>0</v>
      </c>
      <c r="E38" s="110"/>
      <c r="F38" s="118"/>
      <c r="G38" s="116" t="str">
        <f aca="false">'Register Map'!K25</f>
        <v>Disables temp sensor (default)</v>
      </c>
      <c r="H38" s="156" t="n">
        <f aca="false">VLOOKUP(G38,G40:H41,2,FALSE())</f>
        <v>0</v>
      </c>
      <c r="I38" s="112"/>
      <c r="J38" s="110"/>
      <c r="K38" s="139" t="s">
        <v>129</v>
      </c>
      <c r="L38" s="140" t="n">
        <v>0</v>
      </c>
      <c r="M38" s="112"/>
      <c r="N38" s="114"/>
      <c r="O38" s="116" t="str">
        <f aca="false">'Register Map'!K33</f>
        <v>Dedicated DRDY pin only (default)</v>
      </c>
      <c r="P38" s="156" t="n">
        <f aca="false">VLOOKUP(O38,O40:P41,2,FALSE())</f>
        <v>0</v>
      </c>
      <c r="Q38" s="112"/>
    </row>
    <row r="39" customFormat="false" ht="12.75" hidden="false" customHeight="false" outlineLevel="0" collapsed="false">
      <c r="B39" s="118"/>
      <c r="C39" s="143" t="s">
        <v>130</v>
      </c>
      <c r="D39" s="144" t="n">
        <v>1</v>
      </c>
      <c r="E39" s="110"/>
      <c r="F39" s="118"/>
      <c r="G39" s="122" t="str">
        <f aca="false">'Register Map'!K$23</f>
        <v>TS</v>
      </c>
      <c r="H39" s="157" t="n">
        <f aca="false">IF(ISODD(BIN2DEC(H38)/2^0),1,0)</f>
        <v>0</v>
      </c>
      <c r="I39" s="112"/>
      <c r="J39" s="110"/>
      <c r="K39" s="143" t="s">
        <v>131</v>
      </c>
      <c r="L39" s="144" t="n">
        <v>1</v>
      </c>
      <c r="M39" s="112"/>
      <c r="N39" s="114"/>
      <c r="O39" s="124" t="str">
        <f aca="false">'Register Map'!K31</f>
        <v>DRDYM</v>
      </c>
      <c r="P39" s="157" t="n">
        <f aca="false">IF(ISODD(BIN2DEC(P38)/2^0),1,0)</f>
        <v>0</v>
      </c>
      <c r="Q39" s="112"/>
    </row>
    <row r="40" customFormat="false" ht="13" hidden="false" customHeight="false" outlineLevel="0" collapsed="false">
      <c r="B40" s="118"/>
      <c r="C40" s="143" t="s">
        <v>132</v>
      </c>
      <c r="D40" s="144" t="n">
        <v>10</v>
      </c>
      <c r="E40" s="110"/>
      <c r="F40" s="118"/>
      <c r="G40" s="141" t="s">
        <v>51</v>
      </c>
      <c r="H40" s="158" t="n">
        <v>0</v>
      </c>
      <c r="I40" s="112"/>
      <c r="J40" s="110"/>
      <c r="K40" s="143" t="s">
        <v>133</v>
      </c>
      <c r="L40" s="144" t="n">
        <v>10</v>
      </c>
      <c r="M40" s="112"/>
      <c r="N40" s="114"/>
      <c r="O40" s="163" t="s">
        <v>69</v>
      </c>
      <c r="P40" s="158" t="n">
        <v>0</v>
      </c>
      <c r="Q40" s="112"/>
    </row>
    <row r="41" customFormat="false" ht="13" hidden="false" customHeight="false" outlineLevel="0" collapsed="false">
      <c r="B41" s="118"/>
      <c r="C41" s="143" t="s">
        <v>134</v>
      </c>
      <c r="D41" s="144" t="n">
        <v>11</v>
      </c>
      <c r="E41" s="110"/>
      <c r="F41" s="118"/>
      <c r="G41" s="149" t="s">
        <v>135</v>
      </c>
      <c r="H41" s="162" t="n">
        <v>1</v>
      </c>
      <c r="I41" s="112"/>
      <c r="J41" s="110"/>
      <c r="K41" s="143" t="s">
        <v>136</v>
      </c>
      <c r="L41" s="144" t="n">
        <v>11</v>
      </c>
      <c r="M41" s="112"/>
      <c r="N41" s="114"/>
      <c r="O41" s="161" t="s">
        <v>137</v>
      </c>
      <c r="P41" s="162" t="n">
        <v>1</v>
      </c>
      <c r="Q41" s="112"/>
    </row>
    <row r="42" customFormat="false" ht="12.75" hidden="false" customHeight="false" outlineLevel="0" collapsed="false">
      <c r="B42" s="118"/>
      <c r="C42" s="143" t="s">
        <v>138</v>
      </c>
      <c r="D42" s="144" t="n">
        <v>100</v>
      </c>
      <c r="E42" s="110"/>
      <c r="F42" s="118"/>
      <c r="G42" s="114"/>
      <c r="H42" s="164"/>
      <c r="I42" s="112"/>
      <c r="J42" s="110"/>
      <c r="K42" s="143" t="s">
        <v>139</v>
      </c>
      <c r="L42" s="144" t="n">
        <v>100</v>
      </c>
      <c r="M42" s="112"/>
      <c r="N42" s="114"/>
      <c r="O42" s="79"/>
      <c r="P42" s="152"/>
      <c r="Q42" s="112"/>
    </row>
    <row r="43" customFormat="false" ht="12.75" hidden="false" customHeight="false" outlineLevel="0" collapsed="false">
      <c r="B43" s="118"/>
      <c r="C43" s="143" t="s">
        <v>140</v>
      </c>
      <c r="D43" s="144" t="n">
        <v>101</v>
      </c>
      <c r="E43" s="110"/>
      <c r="F43" s="118"/>
      <c r="G43" s="116" t="str">
        <f aca="false">'Register Map'!L25</f>
        <v>Current sources off (default)</v>
      </c>
      <c r="H43" s="156" t="n">
        <f aca="false">VLOOKUP(G43,G45:H46,2,FALSE())</f>
        <v>0</v>
      </c>
      <c r="I43" s="112"/>
      <c r="J43" s="110"/>
      <c r="K43" s="143" t="s">
        <v>141</v>
      </c>
      <c r="L43" s="144" t="n">
        <v>101</v>
      </c>
      <c r="M43" s="112"/>
      <c r="N43" s="114"/>
      <c r="O43" s="79"/>
      <c r="P43" s="152"/>
      <c r="Q43" s="112"/>
    </row>
    <row r="44" customFormat="false" ht="12.75" hidden="false" customHeight="false" outlineLevel="0" collapsed="false">
      <c r="B44" s="118"/>
      <c r="C44" s="143" t="s">
        <v>142</v>
      </c>
      <c r="D44" s="144" t="n">
        <v>110</v>
      </c>
      <c r="E44" s="110"/>
      <c r="F44" s="118"/>
      <c r="G44" s="122" t="str">
        <f aca="false">'Register Map'!L$23</f>
        <v>BCS</v>
      </c>
      <c r="H44" s="157" t="n">
        <f aca="false">IF(ISODD(BIN2DEC(H43)/2^0),1,0)</f>
        <v>0</v>
      </c>
      <c r="I44" s="112"/>
      <c r="J44" s="110"/>
      <c r="K44" s="143" t="s">
        <v>143</v>
      </c>
      <c r="L44" s="144" t="n">
        <v>110</v>
      </c>
      <c r="M44" s="112"/>
      <c r="N44" s="114"/>
      <c r="O44" s="79"/>
      <c r="P44" s="152"/>
      <c r="Q44" s="112"/>
    </row>
    <row r="45" customFormat="false" ht="12.75" hidden="false" customHeight="false" outlineLevel="0" collapsed="false">
      <c r="B45" s="118"/>
      <c r="C45" s="149" t="s">
        <v>40</v>
      </c>
      <c r="D45" s="150" t="n">
        <v>111</v>
      </c>
      <c r="E45" s="110"/>
      <c r="F45" s="118"/>
      <c r="G45" s="141" t="s">
        <v>52</v>
      </c>
      <c r="H45" s="158" t="n">
        <v>0</v>
      </c>
      <c r="I45" s="112"/>
      <c r="J45" s="110"/>
      <c r="K45" s="149" t="s">
        <v>61</v>
      </c>
      <c r="L45" s="150" t="n">
        <v>111</v>
      </c>
      <c r="M45" s="112"/>
      <c r="N45" s="114"/>
      <c r="O45" s="79"/>
      <c r="P45" s="152"/>
      <c r="Q45" s="112"/>
    </row>
    <row r="46" customFormat="false" ht="12.75" hidden="false" customHeight="false" outlineLevel="0" collapsed="false">
      <c r="B46" s="118"/>
      <c r="C46" s="165"/>
      <c r="D46" s="166"/>
      <c r="E46" s="110"/>
      <c r="F46" s="118"/>
      <c r="G46" s="149" t="s">
        <v>144</v>
      </c>
      <c r="H46" s="162" t="n">
        <v>1</v>
      </c>
      <c r="I46" s="112"/>
      <c r="J46" s="110"/>
      <c r="K46" s="110"/>
      <c r="L46" s="110"/>
      <c r="M46" s="112"/>
      <c r="N46" s="114"/>
      <c r="O46" s="79"/>
      <c r="P46" s="152"/>
      <c r="Q46" s="112"/>
    </row>
    <row r="47" customFormat="false" ht="12.75" hidden="false" customHeight="false" outlineLevel="0" collapsed="false">
      <c r="B47" s="118"/>
      <c r="C47" s="116" t="str">
        <f aca="false">'Register Map'!L21</f>
        <v>PGA enabled (default)</v>
      </c>
      <c r="D47" s="156" t="n">
        <f aca="false">VLOOKUP(C47,C49:D50,2,FALSE())</f>
        <v>0</v>
      </c>
      <c r="E47" s="110"/>
      <c r="F47" s="118"/>
      <c r="G47" s="110"/>
      <c r="H47" s="110"/>
      <c r="I47" s="112"/>
      <c r="J47" s="110"/>
      <c r="K47" s="110"/>
      <c r="L47" s="110"/>
      <c r="M47" s="112"/>
      <c r="N47" s="167"/>
      <c r="O47" s="79"/>
      <c r="P47" s="152"/>
      <c r="Q47" s="112"/>
    </row>
    <row r="48" customFormat="false" ht="12.75" hidden="false" customHeight="false" outlineLevel="0" collapsed="false">
      <c r="B48" s="118"/>
      <c r="C48" s="122" t="str">
        <f aca="false">'Register Map'!L19</f>
        <v>PGA_BYPASS</v>
      </c>
      <c r="D48" s="157" t="n">
        <f aca="false">IF(ISODD(BIN2DEC(D47)/2^0),1,0)</f>
        <v>0</v>
      </c>
      <c r="E48" s="110"/>
      <c r="F48" s="118"/>
      <c r="G48" s="110"/>
      <c r="H48" s="110"/>
      <c r="I48" s="112"/>
      <c r="J48" s="110"/>
      <c r="K48" s="110"/>
      <c r="L48" s="110"/>
      <c r="M48" s="112"/>
      <c r="N48" s="167"/>
      <c r="O48" s="79"/>
      <c r="P48" s="152"/>
      <c r="Q48" s="112"/>
    </row>
    <row r="49" customFormat="false" ht="12.75" hidden="false" customHeight="false" outlineLevel="0" collapsed="false">
      <c r="B49" s="118"/>
      <c r="C49" s="141" t="s">
        <v>41</v>
      </c>
      <c r="D49" s="158" t="n">
        <v>0</v>
      </c>
      <c r="E49" s="110"/>
      <c r="F49" s="118"/>
      <c r="G49" s="110"/>
      <c r="H49" s="110"/>
      <c r="I49" s="112"/>
      <c r="J49" s="110"/>
      <c r="K49" s="110"/>
      <c r="L49" s="110"/>
      <c r="M49" s="112"/>
      <c r="N49" s="167"/>
      <c r="O49" s="165"/>
      <c r="P49" s="168"/>
      <c r="Q49" s="112"/>
    </row>
    <row r="50" customFormat="false" ht="12.75" hidden="false" customHeight="false" outlineLevel="0" collapsed="false">
      <c r="B50" s="118"/>
      <c r="C50" s="149" t="s">
        <v>145</v>
      </c>
      <c r="D50" s="162" t="n">
        <v>1</v>
      </c>
      <c r="E50" s="110"/>
      <c r="F50" s="118"/>
      <c r="G50" s="110"/>
      <c r="H50" s="110"/>
      <c r="I50" s="112"/>
      <c r="J50" s="110"/>
      <c r="K50" s="110"/>
      <c r="L50" s="110"/>
      <c r="M50" s="112"/>
      <c r="N50" s="167"/>
      <c r="O50" s="165"/>
      <c r="P50" s="168"/>
      <c r="Q50" s="112"/>
    </row>
    <row r="51" customFormat="false" ht="12.75" hidden="false" customHeight="false" outlineLevel="0" collapsed="false">
      <c r="B51" s="169"/>
      <c r="C51" s="170"/>
      <c r="D51" s="170"/>
      <c r="E51" s="170"/>
      <c r="F51" s="169"/>
      <c r="G51" s="170"/>
      <c r="H51" s="170"/>
      <c r="I51" s="171"/>
      <c r="J51" s="170"/>
      <c r="K51" s="170"/>
      <c r="L51" s="170"/>
      <c r="M51" s="171"/>
      <c r="N51" s="172"/>
      <c r="O51" s="170"/>
      <c r="P51" s="173"/>
      <c r="Q51" s="171"/>
    </row>
    <row r="60" customFormat="false" ht="13.8" hidden="false" customHeight="false" outlineLevel="0" collapsed="false">
      <c r="G60" s="174" t="s">
        <v>48</v>
      </c>
    </row>
    <row r="61" customFormat="false" ht="13.8" hidden="false" customHeight="false" outlineLevel="0" collapsed="false">
      <c r="G61" s="174" t="s">
        <v>146</v>
      </c>
    </row>
    <row r="62" customFormat="false" ht="13.8" hidden="false" customHeight="false" outlineLevel="0" collapsed="false">
      <c r="G62" s="174" t="s">
        <v>147</v>
      </c>
    </row>
    <row r="63" customFormat="false" ht="13.8" hidden="false" customHeight="false" outlineLevel="0" collapsed="false">
      <c r="G63" s="174" t="s">
        <v>148</v>
      </c>
    </row>
    <row r="64" customFormat="false" ht="13.8" hidden="false" customHeight="false" outlineLevel="0" collapsed="false">
      <c r="G64" s="174" t="s">
        <v>149</v>
      </c>
    </row>
    <row r="65" customFormat="false" ht="13.8" hidden="false" customHeight="false" outlineLevel="0" collapsed="false">
      <c r="G65" s="175" t="s">
        <v>150</v>
      </c>
    </row>
    <row r="66" customFormat="false" ht="13.8" hidden="false" customHeight="false" outlineLevel="0" collapsed="false">
      <c r="G66" s="175" t="s">
        <v>151</v>
      </c>
    </row>
    <row r="67" customFormat="false" ht="13.8" hidden="false" customHeight="false" outlineLevel="0" collapsed="false">
      <c r="G67" s="175"/>
    </row>
    <row r="68" customFormat="false" ht="13.8" hidden="false" customHeight="false" outlineLevel="0" collapsed="false">
      <c r="G68" s="175" t="s">
        <v>152</v>
      </c>
    </row>
    <row r="69" customFormat="false" ht="13.8" hidden="false" customHeight="false" outlineLevel="0" collapsed="false">
      <c r="G69" s="175" t="s">
        <v>153</v>
      </c>
    </row>
    <row r="70" customFormat="false" ht="13.8" hidden="false" customHeight="false" outlineLevel="0" collapsed="false">
      <c r="G70" s="175" t="s">
        <v>154</v>
      </c>
    </row>
    <row r="71" customFormat="false" ht="13.8" hidden="false" customHeight="false" outlineLevel="0" collapsed="false">
      <c r="G71" s="175" t="s">
        <v>155</v>
      </c>
    </row>
    <row r="72" customFormat="false" ht="13.8" hidden="false" customHeight="false" outlineLevel="0" collapsed="false">
      <c r="G72" s="174" t="s">
        <v>156</v>
      </c>
    </row>
    <row r="73" customFormat="false" ht="13.8" hidden="false" customHeight="false" outlineLevel="0" collapsed="false">
      <c r="G73" s="174" t="s">
        <v>157</v>
      </c>
    </row>
    <row r="74" customFormat="false" ht="13.8" hidden="false" customHeight="false" outlineLevel="0" collapsed="false">
      <c r="G74" s="174" t="s">
        <v>158</v>
      </c>
    </row>
    <row r="75" customFormat="false" ht="13.8" hidden="false" customHeight="false" outlineLevel="0" collapsed="false">
      <c r="G75" s="175"/>
    </row>
    <row r="76" customFormat="false" ht="13.8" hidden="false" customHeight="false" outlineLevel="0" collapsed="false">
      <c r="G76" s="174" t="s">
        <v>159</v>
      </c>
    </row>
    <row r="77" customFormat="false" ht="13.8" hidden="false" customHeight="false" outlineLevel="0" collapsed="false">
      <c r="G77" s="174" t="s">
        <v>147</v>
      </c>
    </row>
    <row r="78" customFormat="false" ht="13.8" hidden="false" customHeight="false" outlineLevel="0" collapsed="false">
      <c r="G78" s="174" t="s">
        <v>160</v>
      </c>
    </row>
    <row r="79" customFormat="false" ht="13.8" hidden="false" customHeight="false" outlineLevel="0" collapsed="false">
      <c r="G79" s="174" t="s">
        <v>161</v>
      </c>
    </row>
    <row r="80" customFormat="false" ht="13.8" hidden="false" customHeight="false" outlineLevel="0" collapsed="false">
      <c r="G80" s="174" t="s">
        <v>162</v>
      </c>
    </row>
    <row r="81" customFormat="false" ht="13.8" hidden="false" customHeight="false" outlineLevel="0" collapsed="false">
      <c r="G81" s="174" t="s">
        <v>163</v>
      </c>
    </row>
    <row r="82" customFormat="false" ht="13.8" hidden="false" customHeight="false" outlineLevel="0" collapsed="false">
      <c r="G82" s="174" t="s">
        <v>164</v>
      </c>
    </row>
    <row r="91" customFormat="false" ht="12.75" hidden="false" customHeight="false" outlineLevel="0" collapsed="false">
      <c r="M91" s="114"/>
    </row>
    <row r="92" customFormat="false" ht="12.75" hidden="false" customHeight="false" outlineLevel="0" collapsed="false">
      <c r="M92" s="114"/>
    </row>
    <row r="93" customFormat="false" ht="12.75" hidden="false" customHeight="false" outlineLevel="0" collapsed="false">
      <c r="M93" s="114"/>
    </row>
    <row r="94" customFormat="false" ht="12.75" hidden="false" customHeight="false" outlineLevel="0" collapsed="false">
      <c r="M94" s="114"/>
    </row>
    <row r="95" customFormat="false" ht="12.75" hidden="false" customHeight="false" outlineLevel="0" collapsed="false">
      <c r="M95" s="114"/>
    </row>
    <row r="96" customFormat="false" ht="12.75" hidden="false" customHeight="false" outlineLevel="0" collapsed="false">
      <c r="M96" s="114"/>
    </row>
    <row r="97" customFormat="false" ht="12.75" hidden="false" customHeight="false" outlineLevel="0" collapsed="false">
      <c r="M97" s="114"/>
    </row>
    <row r="98" customFormat="false" ht="12.75" hidden="false" customHeight="false" outlineLevel="0" collapsed="false">
      <c r="M98" s="114"/>
    </row>
  </sheetData>
  <mergeCells count="6">
    <mergeCell ref="A1:U3"/>
    <mergeCell ref="A4:U4"/>
    <mergeCell ref="B8:E8"/>
    <mergeCell ref="F8:I8"/>
    <mergeCell ref="J8:M8"/>
    <mergeCell ref="N8:Q8"/>
  </mergeCells>
  <dataValidations count="1">
    <dataValidation allowBlank="true" errorStyle="stop" operator="between" prompt="(Read Only)" promptTitle="DEVICE ID REGISTER" showDropDown="false" showErrorMessage="true" showInputMessage="true" sqref="B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false" showRowColHeaders="false" showZeros="true" rightToLeft="false" tabSelected="true" showOutlineSymbols="true" defaultGridColor="true" view="normal" topLeftCell="A1" colorId="64" zoomScale="75" zoomScaleNormal="75" zoomScalePageLayoutView="100" workbookViewId="0">
      <selection pane="topLeft" activeCell="D19" activeCellId="0" sqref="D19"/>
    </sheetView>
  </sheetViews>
  <sheetFormatPr defaultColWidth="9.1484375" defaultRowHeight="15" customHeight="true" zeroHeight="false" outlineLevelRow="0" outlineLevelCol="0"/>
  <cols>
    <col collapsed="false" customWidth="true" hidden="false" outlineLevel="0" max="1" min="1" style="21" width="2.57"/>
    <col collapsed="false" customWidth="true" hidden="false" outlineLevel="0" max="2" min="2" style="21" width="11"/>
    <col collapsed="false" customWidth="true" hidden="false" outlineLevel="0" max="4" min="3" style="21" width="15.14"/>
    <col collapsed="false" customWidth="true" hidden="false" outlineLevel="0" max="5" min="5" style="21" width="9.86"/>
    <col collapsed="false" customWidth="true" hidden="false" outlineLevel="0" max="6" min="6" style="21" width="10"/>
    <col collapsed="false" customWidth="true" hidden="false" outlineLevel="0" max="7" min="7" style="21" width="13.71"/>
    <col collapsed="false" customWidth="true" hidden="false" outlineLevel="0" max="8" min="8" style="21" width="10.42"/>
    <col collapsed="false" customWidth="true" hidden="false" outlineLevel="0" max="9" min="9" style="21" width="12.71"/>
    <col collapsed="false" customWidth="true" hidden="false" outlineLevel="0" max="10" min="10" style="21" width="14.29"/>
    <col collapsed="false" customWidth="true" hidden="false" outlineLevel="0" max="11" min="11" style="21" width="11.71"/>
    <col collapsed="false" customWidth="true" hidden="false" outlineLevel="0" max="12" min="12" style="21" width="10.42"/>
    <col collapsed="false" customWidth="true" hidden="false" outlineLevel="0" max="13" min="13" style="21" width="11.71"/>
    <col collapsed="false" customWidth="true" hidden="false" outlineLevel="0" max="14" min="14" style="21" width="12.71"/>
    <col collapsed="false" customWidth="true" hidden="false" outlineLevel="0" max="15" min="15" style="21" width="9"/>
    <col collapsed="false" customWidth="true" hidden="false" outlineLevel="0" max="16" min="16" style="21" width="11.71"/>
    <col collapsed="false" customWidth="true" hidden="false" outlineLevel="0" max="17" min="17" style="21" width="12"/>
    <col collapsed="false" customWidth="true" hidden="false" outlineLevel="0" max="18" min="18" style="21" width="9.86"/>
    <col collapsed="false" customWidth="true" hidden="false" outlineLevel="0" max="19" min="19" style="21" width="24.14"/>
    <col collapsed="false" customWidth="true" hidden="false" outlineLevel="0" max="20" min="20" style="21" width="13.71"/>
    <col collapsed="false" customWidth="false" hidden="false" outlineLevel="0" max="16384" min="21" style="21" width="9.14"/>
  </cols>
  <sheetData>
    <row r="1" customFormat="false" ht="15" hidden="false" customHeight="true" outlineLevel="0" collapsed="false">
      <c r="A1" s="175"/>
      <c r="B1" s="175"/>
      <c r="C1" s="175"/>
      <c r="D1" s="175"/>
      <c r="E1" s="175"/>
      <c r="F1" s="175"/>
      <c r="G1" s="175"/>
      <c r="H1" s="175"/>
      <c r="I1" s="175"/>
      <c r="J1" s="175"/>
      <c r="K1" s="175"/>
      <c r="L1" s="175"/>
      <c r="M1" s="175"/>
      <c r="N1" s="175"/>
      <c r="O1" s="175"/>
      <c r="P1" s="175"/>
      <c r="Q1" s="175"/>
      <c r="R1" s="175"/>
      <c r="S1" s="175"/>
      <c r="T1" s="175"/>
    </row>
    <row r="2" customFormat="false" ht="15" hidden="false" customHeight="true" outlineLevel="0" collapsed="false">
      <c r="A2" s="175"/>
      <c r="B2" s="175"/>
      <c r="C2" s="175"/>
      <c r="D2" s="175"/>
      <c r="E2" s="175"/>
      <c r="F2" s="175"/>
      <c r="G2" s="175"/>
      <c r="H2" s="175"/>
      <c r="I2" s="175"/>
      <c r="J2" s="175"/>
      <c r="K2" s="175"/>
      <c r="L2" s="175"/>
      <c r="M2" s="175"/>
      <c r="N2" s="175"/>
      <c r="O2" s="175"/>
      <c r="P2" s="175"/>
      <c r="Q2" s="175"/>
      <c r="R2" s="175"/>
      <c r="S2" s="175"/>
      <c r="T2" s="175"/>
    </row>
    <row r="3" customFormat="false" ht="15" hidden="false" customHeight="true" outlineLevel="0" collapsed="false">
      <c r="A3" s="175"/>
      <c r="B3" s="175"/>
      <c r="C3" s="175"/>
      <c r="D3" s="175"/>
      <c r="E3" s="175"/>
      <c r="F3" s="175"/>
      <c r="G3" s="175"/>
      <c r="H3" s="175"/>
      <c r="I3" s="175"/>
      <c r="J3" s="175"/>
      <c r="K3" s="175"/>
      <c r="L3" s="175"/>
      <c r="M3" s="175"/>
      <c r="N3" s="175"/>
      <c r="O3" s="175"/>
      <c r="P3" s="175"/>
      <c r="Q3" s="175"/>
      <c r="R3" s="175"/>
      <c r="S3" s="175"/>
      <c r="T3" s="175"/>
    </row>
    <row r="4" customFormat="false" ht="15" hidden="false" customHeight="true" outlineLevel="0" collapsed="false">
      <c r="A4" s="176"/>
      <c r="B4" s="176"/>
      <c r="C4" s="176"/>
      <c r="D4" s="176"/>
      <c r="E4" s="176"/>
      <c r="F4" s="176"/>
      <c r="G4" s="176"/>
      <c r="H4" s="176"/>
      <c r="I4" s="176"/>
      <c r="J4" s="176"/>
      <c r="K4" s="176"/>
      <c r="L4" s="176"/>
      <c r="M4" s="176"/>
      <c r="N4" s="176"/>
      <c r="O4" s="176"/>
      <c r="P4" s="176"/>
      <c r="Q4" s="176"/>
      <c r="R4" s="176"/>
      <c r="S4" s="176"/>
      <c r="T4" s="176"/>
    </row>
    <row r="5" customFormat="false" ht="15" hidden="false" customHeight="true" outlineLevel="0" collapsed="false">
      <c r="A5" s="177"/>
      <c r="B5" s="177"/>
      <c r="C5" s="178"/>
      <c r="D5" s="178"/>
      <c r="E5" s="178"/>
      <c r="F5" s="178"/>
      <c r="G5" s="178"/>
      <c r="H5" s="178"/>
      <c r="I5" s="178"/>
      <c r="J5" s="178"/>
      <c r="K5" s="178"/>
      <c r="L5" s="178"/>
      <c r="M5" s="178"/>
      <c r="N5" s="178"/>
      <c r="O5" s="178"/>
      <c r="P5" s="178"/>
      <c r="Q5" s="178"/>
      <c r="R5" s="178"/>
      <c r="S5" s="26" t="s">
        <v>16</v>
      </c>
      <c r="T5" s="26"/>
      <c r="U5" s="179"/>
    </row>
    <row r="6" customFormat="false" ht="15" hidden="false" customHeight="true" outlineLevel="0" collapsed="false">
      <c r="A6" s="180"/>
      <c r="B6" s="180"/>
      <c r="C6" s="181" t="s">
        <v>165</v>
      </c>
      <c r="D6" s="181"/>
      <c r="E6" s="181"/>
      <c r="F6" s="182"/>
      <c r="G6" s="182"/>
      <c r="H6" s="180"/>
      <c r="I6" s="180"/>
      <c r="J6" s="175"/>
      <c r="K6" s="175"/>
      <c r="L6" s="175"/>
      <c r="M6" s="175"/>
      <c r="N6" s="177"/>
      <c r="O6" s="177"/>
      <c r="P6" s="177"/>
      <c r="Q6" s="177"/>
      <c r="R6" s="183"/>
      <c r="S6" s="37"/>
      <c r="T6" s="37"/>
      <c r="U6" s="179"/>
    </row>
    <row r="7" customFormat="false" ht="15" hidden="false" customHeight="true" outlineLevel="0" collapsed="false">
      <c r="A7" s="180"/>
      <c r="B7" s="180"/>
      <c r="C7" s="184" t="s">
        <v>166</v>
      </c>
      <c r="D7" s="184"/>
      <c r="E7" s="184"/>
      <c r="F7" s="185"/>
      <c r="G7" s="102"/>
      <c r="H7" s="102"/>
      <c r="I7" s="102"/>
      <c r="J7" s="175"/>
      <c r="K7" s="175"/>
      <c r="L7" s="175"/>
      <c r="M7" s="175"/>
      <c r="N7" s="175"/>
      <c r="O7" s="175"/>
      <c r="P7" s="175"/>
      <c r="Q7" s="175"/>
      <c r="R7" s="175"/>
      <c r="S7" s="98"/>
      <c r="T7" s="28" t="s">
        <v>17</v>
      </c>
      <c r="U7" s="179"/>
    </row>
    <row r="8" customFormat="false" ht="15" hidden="false" customHeight="true" outlineLevel="0" collapsed="false">
      <c r="A8" s="180"/>
      <c r="B8" s="180"/>
      <c r="C8" s="186" t="s">
        <v>166</v>
      </c>
      <c r="D8" s="187" t="n">
        <v>128</v>
      </c>
      <c r="E8" s="188" t="s">
        <v>167</v>
      </c>
      <c r="F8" s="189"/>
      <c r="G8" s="190"/>
      <c r="H8" s="191"/>
      <c r="I8" s="192"/>
      <c r="J8" s="175"/>
      <c r="K8" s="175"/>
      <c r="L8" s="185" t="s">
        <v>168</v>
      </c>
      <c r="M8" s="185"/>
      <c r="N8" s="175"/>
      <c r="O8" s="193" t="s">
        <v>169</v>
      </c>
      <c r="P8" s="175"/>
      <c r="Q8" s="175"/>
      <c r="R8" s="175"/>
      <c r="S8" s="29" t="s">
        <v>18</v>
      </c>
      <c r="T8" s="30" t="s">
        <v>19</v>
      </c>
      <c r="U8" s="179"/>
    </row>
    <row r="9" customFormat="false" ht="15" hidden="false" customHeight="true" outlineLevel="0" collapsed="false">
      <c r="A9" s="180"/>
      <c r="B9" s="180"/>
      <c r="C9" s="184" t="s">
        <v>170</v>
      </c>
      <c r="D9" s="184"/>
      <c r="E9" s="184"/>
      <c r="F9" s="185"/>
      <c r="G9" s="185"/>
      <c r="H9" s="180"/>
      <c r="I9" s="180"/>
      <c r="J9" s="175"/>
      <c r="K9" s="175"/>
      <c r="L9" s="175"/>
      <c r="M9" s="175"/>
      <c r="N9" s="193"/>
      <c r="O9" s="175"/>
      <c r="P9" s="193"/>
      <c r="Q9" s="193"/>
      <c r="R9" s="175"/>
      <c r="S9" s="29" t="s">
        <v>20</v>
      </c>
      <c r="T9" s="31" t="s">
        <v>19</v>
      </c>
      <c r="U9" s="179"/>
    </row>
    <row r="10" customFormat="false" ht="15" hidden="false" customHeight="true" outlineLevel="0" collapsed="false">
      <c r="A10" s="180"/>
      <c r="B10" s="194" t="str">
        <f aca="false">CONCATENATE(ROUND($E$103,4)," V  ≤  ")</f>
        <v>2.3 V  ≤  </v>
      </c>
      <c r="C10" s="195" t="s">
        <v>171</v>
      </c>
      <c r="D10" s="196" t="n">
        <v>3.3</v>
      </c>
      <c r="E10" s="197" t="s">
        <v>172</v>
      </c>
      <c r="F10" s="198" t="str">
        <f aca="false">CONCATENATE("  ≤  ", ROUND($E$102,4), " V")</f>
        <v>  ≤  5.5 V</v>
      </c>
      <c r="G10" s="192"/>
      <c r="H10" s="180"/>
      <c r="I10" s="180"/>
      <c r="J10" s="175"/>
      <c r="K10" s="175"/>
      <c r="L10" s="175"/>
      <c r="M10" s="175"/>
      <c r="N10" s="175"/>
      <c r="O10" s="175"/>
      <c r="P10" s="175"/>
      <c r="Q10" s="175"/>
      <c r="R10" s="175"/>
      <c r="S10" s="32" t="s">
        <v>173</v>
      </c>
      <c r="T10" s="199" t="s">
        <v>19</v>
      </c>
      <c r="U10" s="179"/>
    </row>
    <row r="11" customFormat="false" ht="15" hidden="false" customHeight="true" outlineLevel="0" collapsed="false">
      <c r="A11" s="177"/>
      <c r="B11" s="194" t="str">
        <f aca="false">CONCATENATE(ROUND($E$105,4)," V  ≤  ")</f>
        <v>-2.75 V  ≤  </v>
      </c>
      <c r="C11" s="200" t="s">
        <v>174</v>
      </c>
      <c r="D11" s="201" t="n">
        <v>0</v>
      </c>
      <c r="E11" s="202" t="s">
        <v>172</v>
      </c>
      <c r="F11" s="198" t="str">
        <f aca="false">CONCATENATE("  ≤  ", ROUND($E$104,4), " V")</f>
        <v>  ≤  0 V</v>
      </c>
      <c r="G11" s="192"/>
      <c r="H11" s="203"/>
      <c r="I11" s="204"/>
      <c r="J11" s="175"/>
      <c r="K11" s="175"/>
      <c r="L11" s="175"/>
      <c r="M11" s="175"/>
      <c r="N11" s="175"/>
      <c r="O11" s="175"/>
      <c r="P11" s="175"/>
      <c r="Q11" s="175"/>
      <c r="R11" s="175"/>
      <c r="S11" s="32"/>
      <c r="T11" s="79"/>
      <c r="U11" s="179"/>
    </row>
    <row r="12" customFormat="false" ht="15" hidden="false" customHeight="true" outlineLevel="0" collapsed="false">
      <c r="A12" s="177"/>
      <c r="B12" s="177"/>
      <c r="C12" s="184" t="s">
        <v>175</v>
      </c>
      <c r="D12" s="184"/>
      <c r="E12" s="184"/>
      <c r="F12" s="205"/>
      <c r="G12" s="185"/>
      <c r="H12" s="177"/>
      <c r="I12" s="177"/>
      <c r="J12" s="175"/>
      <c r="K12" s="175"/>
      <c r="L12" s="175"/>
      <c r="M12" s="175"/>
      <c r="N12" s="177"/>
      <c r="O12" s="177"/>
      <c r="P12" s="177"/>
      <c r="Q12" s="177"/>
      <c r="R12" s="177"/>
      <c r="S12" s="41"/>
      <c r="T12" s="41"/>
      <c r="U12" s="179"/>
    </row>
    <row r="13" customFormat="false" ht="15" hidden="false" customHeight="true" outlineLevel="0" collapsed="false">
      <c r="A13" s="177"/>
      <c r="B13" s="194" t="str">
        <f aca="false">CONCATENATE(ROUND($E$109,4)," V  ≤  ")</f>
        <v>1,8765 V  ≤  </v>
      </c>
      <c r="C13" s="195" t="s">
        <v>176</v>
      </c>
      <c r="D13" s="206" t="n">
        <v>2.0565</v>
      </c>
      <c r="E13" s="197" t="s">
        <v>172</v>
      </c>
      <c r="F13" s="198" t="str">
        <f aca="false">CONCATENATE("  ≤  ", ROUND($E$108,4), " V")</f>
        <v>  ≤  3,4 V</v>
      </c>
      <c r="G13" s="192"/>
      <c r="H13" s="177"/>
      <c r="I13" s="177"/>
      <c r="J13" s="175"/>
      <c r="K13" s="175"/>
      <c r="L13" s="175"/>
      <c r="M13" s="175"/>
      <c r="N13" s="175"/>
      <c r="O13" s="175"/>
      <c r="P13" s="175"/>
      <c r="Q13" s="177"/>
      <c r="R13" s="177"/>
      <c r="S13" s="41"/>
      <c r="T13" s="41"/>
      <c r="U13" s="179"/>
    </row>
    <row r="14" customFormat="false" ht="15" hidden="false" customHeight="true" outlineLevel="0" collapsed="false">
      <c r="A14" s="177"/>
      <c r="B14" s="194" t="str">
        <f aca="false">CONCATENATE(ROUND($E$111,4)," V  ≤  ")</f>
        <v>-0.1 V  ≤  </v>
      </c>
      <c r="C14" s="200" t="s">
        <v>177</v>
      </c>
      <c r="D14" s="201" t="n">
        <v>1.1265</v>
      </c>
      <c r="E14" s="202" t="s">
        <v>172</v>
      </c>
      <c r="F14" s="198" t="str">
        <f aca="false">CONCATENATE("  ≤  ", ROUND($E$110,4), " V")</f>
        <v>  ≤  1,3065 V</v>
      </c>
      <c r="G14" s="192"/>
      <c r="H14" s="177"/>
      <c r="I14" s="177"/>
      <c r="J14" s="177"/>
      <c r="K14" s="177"/>
      <c r="L14" s="177"/>
      <c r="M14" s="177"/>
      <c r="N14" s="177"/>
      <c r="O14" s="177"/>
      <c r="P14" s="177"/>
      <c r="Q14" s="177"/>
      <c r="R14" s="177"/>
      <c r="S14" s="177"/>
      <c r="T14" s="177"/>
    </row>
    <row r="15" customFormat="false" ht="15" hidden="false" customHeight="true" outlineLevel="0" collapsed="false">
      <c r="A15" s="177"/>
      <c r="B15" s="177"/>
      <c r="C15" s="98"/>
      <c r="D15" s="98"/>
      <c r="E15" s="98"/>
      <c r="F15" s="207"/>
      <c r="G15" s="175"/>
      <c r="H15" s="177"/>
      <c r="I15" s="177"/>
      <c r="J15" s="175"/>
      <c r="K15" s="175"/>
      <c r="L15" s="175"/>
      <c r="M15" s="175"/>
      <c r="N15" s="175"/>
      <c r="O15" s="175"/>
      <c r="P15" s="193"/>
      <c r="Q15" s="177"/>
      <c r="R15" s="177"/>
      <c r="S15" s="177"/>
      <c r="T15" s="177"/>
    </row>
    <row r="16" customFormat="false" ht="15" hidden="false" customHeight="true" outlineLevel="0" collapsed="false">
      <c r="A16" s="177"/>
      <c r="B16" s="175"/>
      <c r="C16" s="181" t="s">
        <v>178</v>
      </c>
      <c r="D16" s="181"/>
      <c r="E16" s="181"/>
      <c r="F16" s="208"/>
      <c r="G16" s="175"/>
      <c r="H16" s="177"/>
      <c r="I16" s="177"/>
      <c r="J16" s="175"/>
      <c r="K16" s="175"/>
      <c r="L16" s="175"/>
      <c r="M16" s="175"/>
      <c r="N16" s="175"/>
      <c r="O16" s="175"/>
      <c r="P16" s="177"/>
      <c r="Q16" s="177"/>
      <c r="R16" s="177"/>
      <c r="S16" s="177"/>
      <c r="T16" s="177"/>
    </row>
    <row r="17" customFormat="false" ht="15" hidden="false" customHeight="true" outlineLevel="0" collapsed="false">
      <c r="A17" s="177"/>
      <c r="B17" s="175"/>
      <c r="C17" s="209" t="s">
        <v>179</v>
      </c>
      <c r="D17" s="209"/>
      <c r="E17" s="209"/>
      <c r="F17" s="205"/>
      <c r="G17" s="175"/>
      <c r="H17" s="177"/>
      <c r="I17" s="177"/>
      <c r="J17" s="177"/>
      <c r="K17" s="177"/>
      <c r="L17" s="177"/>
      <c r="M17" s="177"/>
      <c r="N17" s="177"/>
      <c r="O17" s="177"/>
      <c r="P17" s="177"/>
      <c r="Q17" s="177"/>
      <c r="R17" s="177"/>
      <c r="S17" s="210"/>
      <c r="T17" s="177"/>
    </row>
    <row r="18" customFormat="false" ht="15" hidden="false" customHeight="true" outlineLevel="0" collapsed="false">
      <c r="A18" s="177"/>
      <c r="B18" s="175"/>
      <c r="C18" s="211" t="s">
        <v>180</v>
      </c>
      <c r="D18" s="212" t="s">
        <v>181</v>
      </c>
      <c r="E18" s="212"/>
      <c r="F18" s="207"/>
      <c r="G18" s="175"/>
      <c r="H18" s="177"/>
      <c r="I18" s="177"/>
      <c r="J18" s="177"/>
      <c r="K18" s="177"/>
      <c r="L18" s="177"/>
      <c r="M18" s="177"/>
      <c r="N18" s="177"/>
      <c r="O18" s="177"/>
      <c r="P18" s="177"/>
      <c r="Q18" s="177"/>
      <c r="R18" s="213"/>
      <c r="S18" s="210"/>
      <c r="T18" s="177"/>
    </row>
    <row r="19" customFormat="false" ht="15" hidden="false" customHeight="true" outlineLevel="0" collapsed="false">
      <c r="A19" s="177"/>
      <c r="B19" s="214" t="str">
        <f aca="false">CONCATENATE(ROUND(IF(INPUT_MODE=C38,$E$83,$E$95),4)," V  ≤  ")</f>
        <v>-0,0073 V  ≤  </v>
      </c>
      <c r="C19" s="215" t="str">
        <f aca="false">VLOOKUP(INPUT_MODE,C38:E39,2,FALSE())</f>
        <v>VIN_DIFF</v>
      </c>
      <c r="D19" s="216" t="n">
        <v>0.0015</v>
      </c>
      <c r="E19" s="217" t="s">
        <v>172</v>
      </c>
      <c r="F19" s="218" t="str">
        <f aca="false">CONCATENATE("  ≤  ", ROUND(IF(INPUT_MODE=C38,$E$82,$E$94),4), " V")</f>
        <v>  ≤  0,0073 V</v>
      </c>
      <c r="G19" s="175"/>
      <c r="H19" s="177"/>
      <c r="I19" s="177"/>
      <c r="J19" s="175"/>
      <c r="K19" s="177"/>
      <c r="L19" s="177"/>
      <c r="M19" s="177"/>
      <c r="N19" s="177"/>
      <c r="O19" s="177"/>
      <c r="P19" s="177"/>
      <c r="Q19" s="177"/>
      <c r="R19" s="177"/>
      <c r="S19" s="175"/>
      <c r="T19" s="177"/>
    </row>
    <row r="20" customFormat="false" ht="15" hidden="false" customHeight="true" outlineLevel="0" collapsed="false">
      <c r="A20" s="177"/>
      <c r="B20" s="219" t="str">
        <f aca="false">CONCATENATE(ROUND(IF(INPUT_MODE=C38,$E$85,$E$99),4)," V  ≤  ")</f>
        <v>0,825 V  ≤  </v>
      </c>
      <c r="C20" s="200" t="str">
        <f aca="false">VLOOKUP(INPUT_MODE,C38:E39,3,FALSE())</f>
        <v>VIN_CM</v>
      </c>
      <c r="D20" s="220" t="n">
        <v>1.12575</v>
      </c>
      <c r="E20" s="202" t="s">
        <v>172</v>
      </c>
      <c r="F20" s="221" t="str">
        <f aca="false">CONCATENATE("  ≤  ", ROUND(IF(INPUT_MODE=C38,$E$84,$E$98),4), " V")</f>
        <v>  ≤  3,004 V</v>
      </c>
      <c r="G20" s="175"/>
      <c r="H20" s="177"/>
      <c r="I20" s="177"/>
      <c r="J20" s="177"/>
      <c r="K20" s="177"/>
      <c r="L20" s="175"/>
      <c r="M20" s="175"/>
      <c r="N20" s="175"/>
      <c r="O20" s="175"/>
      <c r="P20" s="177"/>
      <c r="Q20" s="177"/>
      <c r="R20" s="213"/>
      <c r="S20" s="210"/>
      <c r="T20" s="177"/>
    </row>
    <row r="21" customFormat="false" ht="15" hidden="false" customHeight="true" outlineLevel="0" collapsed="false">
      <c r="A21" s="177"/>
      <c r="B21" s="175"/>
      <c r="C21" s="175"/>
      <c r="D21" s="175"/>
      <c r="E21" s="175"/>
      <c r="G21" s="175"/>
      <c r="H21" s="177"/>
      <c r="I21" s="177"/>
      <c r="J21" s="177"/>
      <c r="K21" s="177"/>
      <c r="L21" s="177"/>
      <c r="M21" s="177"/>
      <c r="N21" s="177"/>
      <c r="O21" s="177"/>
      <c r="P21" s="177"/>
      <c r="Q21" s="177"/>
      <c r="R21" s="177"/>
      <c r="S21" s="210"/>
      <c r="T21" s="177"/>
    </row>
    <row r="22" customFormat="false" ht="15" hidden="false" customHeight="true" outlineLevel="0" collapsed="false">
      <c r="A22" s="177"/>
      <c r="B22" s="177"/>
      <c r="C22" s="181" t="s">
        <v>182</v>
      </c>
      <c r="D22" s="181"/>
      <c r="E22" s="181"/>
      <c r="F22" s="98"/>
      <c r="G22" s="98"/>
      <c r="H22" s="98"/>
      <c r="I22" s="98"/>
      <c r="J22" s="41"/>
      <c r="K22" s="41"/>
      <c r="L22" s="41"/>
      <c r="M22" s="98"/>
      <c r="N22" s="98"/>
      <c r="O22" s="98"/>
      <c r="P22" s="98"/>
      <c r="Q22" s="179"/>
      <c r="R22" s="98"/>
      <c r="S22" s="98"/>
      <c r="T22" s="175"/>
    </row>
    <row r="23" customFormat="false" ht="15" hidden="false" customHeight="true" outlineLevel="0" collapsed="false">
      <c r="A23" s="177"/>
      <c r="B23" s="177"/>
      <c r="C23" s="222" t="s">
        <v>183</v>
      </c>
      <c r="D23" s="222"/>
      <c r="E23" s="222"/>
      <c r="F23" s="222"/>
      <c r="G23" s="222"/>
      <c r="H23" s="222"/>
      <c r="I23" s="222"/>
      <c r="J23" s="223"/>
      <c r="K23" s="98"/>
      <c r="L23" s="222" t="s">
        <v>184</v>
      </c>
      <c r="M23" s="222"/>
      <c r="N23" s="179"/>
      <c r="O23" s="98"/>
      <c r="P23" s="222" t="s">
        <v>185</v>
      </c>
      <c r="Q23" s="222"/>
      <c r="R23" s="179"/>
      <c r="S23" s="98"/>
      <c r="T23" s="175"/>
    </row>
    <row r="24" customFormat="false" ht="15" hidden="false" customHeight="true" outlineLevel="0" collapsed="false">
      <c r="A24" s="177"/>
      <c r="B24" s="177"/>
      <c r="C24" s="195" t="s">
        <v>186</v>
      </c>
      <c r="D24" s="224" t="s">
        <v>187</v>
      </c>
      <c r="E24" s="224"/>
      <c r="F24" s="224"/>
      <c r="G24" s="224"/>
      <c r="H24" s="224"/>
      <c r="I24" s="224"/>
      <c r="J24" s="225"/>
      <c r="K24" s="219" t="str">
        <f aca="false">CONCATENATE(ROUND('PGA Common-Mode Range'!$E$83,4)," V  ≤  ")</f>
        <v>1,1177 V  ≤  </v>
      </c>
      <c r="L24" s="195" t="s">
        <v>188</v>
      </c>
      <c r="M24" s="226" t="n">
        <f aca="false">VINP</f>
        <v>1.1265</v>
      </c>
      <c r="N24" s="221" t="str">
        <f aca="false">CONCATENATE("  ≤  ", ROUND('PGA Common-Mode Range'!$E$82,4), " V")</f>
        <v>  ≤  1,1323 V</v>
      </c>
      <c r="O24" s="214" t="str">
        <f aca="false">CONCATENATE(ROUND(AVSS+Swing_to_Rail,4)," V  ≤  ")</f>
        <v>0,2 V  ≤  </v>
      </c>
      <c r="P24" s="195" t="s">
        <v>189</v>
      </c>
      <c r="Q24" s="227" t="n">
        <f aca="false">VOUTP_CLAMP</f>
        <v>1.22175</v>
      </c>
      <c r="R24" s="218" t="str">
        <f aca="false">CONCATENATE("  ≤  ",ROUND(AVDD-Swing_to_Rail,4), " V")</f>
        <v>  ≤  3,1 V</v>
      </c>
      <c r="S24" s="98"/>
      <c r="T24" s="175"/>
    </row>
    <row r="25" customFormat="false" ht="15" hidden="false" customHeight="true" outlineLevel="0" collapsed="false">
      <c r="A25" s="177"/>
      <c r="B25" s="177"/>
      <c r="C25" s="215" t="s">
        <v>190</v>
      </c>
      <c r="D25" s="228" t="s">
        <v>191</v>
      </c>
      <c r="E25" s="228"/>
      <c r="F25" s="228"/>
      <c r="G25" s="228"/>
      <c r="H25" s="228"/>
      <c r="I25" s="228"/>
      <c r="J25" s="229"/>
      <c r="K25" s="219"/>
      <c r="L25" s="215" t="s">
        <v>192</v>
      </c>
      <c r="M25" s="230" t="n">
        <f aca="false">VINN</f>
        <v>1.125</v>
      </c>
      <c r="N25" s="221"/>
      <c r="O25" s="214"/>
      <c r="P25" s="215" t="s">
        <v>193</v>
      </c>
      <c r="Q25" s="230" t="n">
        <f aca="false">VOUTN_CLAMP</f>
        <v>1.02975</v>
      </c>
      <c r="R25" s="218"/>
      <c r="S25" s="98"/>
      <c r="T25" s="175"/>
    </row>
    <row r="26" customFormat="false" ht="15" hidden="false" customHeight="true" outlineLevel="0" collapsed="false">
      <c r="A26" s="177"/>
      <c r="B26" s="177"/>
      <c r="C26" s="215" t="s">
        <v>194</v>
      </c>
      <c r="D26" s="228" t="str">
        <f aca="false">CONCATENATE("← Input exceeds the maximum differential voltage (±",ROUND('PGA Common-Mode Range'!E94,5), " V)!")</f>
        <v>← Input exceeds the maximum differential voltage (±0,00727 V)!</v>
      </c>
      <c r="E26" s="228"/>
      <c r="F26" s="228"/>
      <c r="G26" s="228"/>
      <c r="H26" s="228"/>
      <c r="I26" s="228"/>
      <c r="J26" s="98"/>
      <c r="K26" s="194" t="str">
        <f aca="false">CONCATENATE(ROUND('PGA Common-Mode Range'!$E$95,4)," V  ≤  ")</f>
        <v>-0,0073 V  ≤  </v>
      </c>
      <c r="L26" s="215" t="s">
        <v>194</v>
      </c>
      <c r="M26" s="230" t="n">
        <f aca="false">VIN_DIFF</f>
        <v>0.00150000000000006</v>
      </c>
      <c r="N26" s="198" t="str">
        <f aca="false">CONCATENATE("  ≤  ", ROUND('PGA Common-Mode Range'!$E$94,4), " V")</f>
        <v>  ≤  0,0073 V</v>
      </c>
      <c r="O26" s="194" t="str">
        <f aca="false">CONCATENATE(ROUND(-POS_FULL_SCALE,4)," V  ≤  ")</f>
        <v>-0,93 V  ≤  </v>
      </c>
      <c r="P26" s="215" t="s">
        <v>195</v>
      </c>
      <c r="Q26" s="230" t="n">
        <f aca="false">VOUT_DIFF_CLAMPED</f>
        <v>0.192000000000007</v>
      </c>
      <c r="R26" s="198" t="str">
        <f aca="false">CONCATENATE("  ≤  ",ROUND(POS_FULL_SCALE,4), " V")</f>
        <v>  ≤  0,93 V</v>
      </c>
      <c r="S26" s="98"/>
    </row>
    <row r="27" customFormat="false" ht="15" hidden="false" customHeight="true" outlineLevel="0" collapsed="false">
      <c r="A27" s="177"/>
      <c r="B27" s="177"/>
      <c r="C27" s="215" t="s">
        <v>188</v>
      </c>
      <c r="D27" s="231" t="s">
        <v>196</v>
      </c>
      <c r="E27" s="231"/>
      <c r="F27" s="231"/>
      <c r="G27" s="231"/>
      <c r="H27" s="231"/>
      <c r="I27" s="231"/>
      <c r="J27" s="41"/>
      <c r="K27" s="232" t="str">
        <f aca="false">CONCATENATE(ROUND('PGA Common-Mode Range'!$E$99,4)," V  ≤  ")</f>
        <v>0,825 V  ≤  </v>
      </c>
      <c r="L27" s="200" t="s">
        <v>197</v>
      </c>
      <c r="M27" s="233" t="n">
        <f aca="false">VCM</f>
        <v>1.12575</v>
      </c>
      <c r="N27" s="234" t="str">
        <f aca="false">CONCATENATE("  ≤  ",ROUND('PGA Common-Mode Range'!$E$98,4), " V")</f>
        <v>  ≤  3,004 V</v>
      </c>
      <c r="O27" s="194"/>
      <c r="P27" s="200" t="s">
        <v>198</v>
      </c>
      <c r="Q27" s="233" t="n">
        <f aca="false">VOUT_CM_CLAMPED</f>
        <v>1.12575</v>
      </c>
      <c r="R27" s="235"/>
      <c r="S27" s="98"/>
    </row>
    <row r="28" customFormat="false" ht="15" hidden="false" customHeight="true" outlineLevel="0" collapsed="false">
      <c r="A28" s="175"/>
      <c r="B28" s="175"/>
      <c r="C28" s="200" t="s">
        <v>192</v>
      </c>
      <c r="D28" s="236" t="s">
        <v>199</v>
      </c>
      <c r="E28" s="236"/>
      <c r="F28" s="236"/>
      <c r="G28" s="236"/>
      <c r="H28" s="236"/>
      <c r="I28" s="236"/>
      <c r="J28" s="41"/>
      <c r="K28" s="98"/>
      <c r="L28" s="98"/>
      <c r="M28" s="98"/>
      <c r="N28" s="98"/>
      <c r="O28" s="98"/>
      <c r="P28" s="41"/>
      <c r="Q28" s="179"/>
      <c r="R28" s="179"/>
      <c r="S28" s="179"/>
    </row>
    <row r="29" customFormat="false" ht="15" hidden="false" customHeight="true" outlineLevel="0" collapsed="false">
      <c r="A29" s="177"/>
      <c r="B29" s="177"/>
      <c r="C29" s="98"/>
      <c r="D29" s="98"/>
      <c r="E29" s="98"/>
      <c r="F29" s="98"/>
      <c r="G29" s="98"/>
      <c r="H29" s="98"/>
      <c r="I29" s="98"/>
      <c r="J29" s="41"/>
      <c r="K29" s="98"/>
      <c r="L29" s="98"/>
      <c r="M29" s="98"/>
      <c r="N29" s="98"/>
      <c r="O29" s="98"/>
      <c r="P29" s="41"/>
      <c r="Q29" s="179"/>
      <c r="R29" s="179"/>
      <c r="S29" s="179"/>
    </row>
    <row r="30" customFormat="false" ht="15" hidden="false" customHeight="true" outlineLevel="0" collapsed="false">
      <c r="A30" s="177"/>
      <c r="B30" s="177"/>
      <c r="C30" s="175"/>
      <c r="D30" s="175"/>
      <c r="E30" s="175"/>
      <c r="F30" s="175"/>
      <c r="G30" s="175"/>
      <c r="H30" s="175"/>
      <c r="I30" s="175"/>
      <c r="J30" s="177"/>
      <c r="K30" s="177"/>
      <c r="L30" s="177"/>
      <c r="M30" s="177"/>
      <c r="N30" s="177"/>
      <c r="O30" s="177"/>
      <c r="P30" s="177"/>
    </row>
    <row r="31" customFormat="false" ht="15" hidden="false" customHeight="true" outlineLevel="0" collapsed="false">
      <c r="A31" s="177"/>
      <c r="B31" s="177"/>
      <c r="C31" s="175"/>
      <c r="D31" s="175"/>
      <c r="E31" s="175"/>
      <c r="F31" s="175"/>
      <c r="G31" s="175"/>
      <c r="H31" s="175"/>
      <c r="I31" s="175"/>
      <c r="J31" s="177"/>
      <c r="K31" s="177"/>
      <c r="L31" s="177"/>
      <c r="M31" s="177"/>
      <c r="N31" s="177"/>
      <c r="O31" s="177"/>
      <c r="P31" s="177"/>
      <c r="Q31" s="177"/>
      <c r="R31" s="177"/>
      <c r="S31" s="177"/>
      <c r="T31" s="177"/>
    </row>
    <row r="32" customFormat="false" ht="15" hidden="false" customHeight="true" outlineLevel="0" collapsed="false">
      <c r="A32" s="177"/>
      <c r="B32" s="177"/>
      <c r="C32" s="175"/>
      <c r="D32" s="175"/>
      <c r="E32" s="175"/>
      <c r="F32" s="175"/>
      <c r="G32" s="175"/>
      <c r="H32" s="175"/>
      <c r="I32" s="175"/>
      <c r="J32" s="177"/>
      <c r="K32" s="177"/>
      <c r="L32" s="177"/>
      <c r="M32" s="177"/>
      <c r="N32" s="177"/>
      <c r="O32" s="177"/>
      <c r="P32" s="177"/>
      <c r="Q32" s="177"/>
      <c r="R32" s="177"/>
      <c r="S32" s="177"/>
      <c r="T32" s="177"/>
    </row>
    <row r="33" customFormat="false" ht="15" hidden="true" customHeight="true" outlineLevel="0" collapsed="false">
      <c r="A33" s="175"/>
      <c r="B33" s="175"/>
      <c r="C33" s="175"/>
      <c r="D33" s="175"/>
      <c r="E33" s="175"/>
      <c r="F33" s="175"/>
      <c r="G33" s="175"/>
      <c r="H33" s="175"/>
      <c r="I33" s="175"/>
      <c r="J33" s="175"/>
      <c r="K33" s="175"/>
      <c r="L33" s="175"/>
      <c r="M33" s="175"/>
      <c r="N33" s="175"/>
      <c r="O33" s="175"/>
      <c r="P33" s="175"/>
      <c r="Q33" s="175"/>
      <c r="R33" s="175"/>
      <c r="S33" s="175"/>
      <c r="T33" s="175"/>
    </row>
    <row r="34" customFormat="false" ht="15" hidden="true" customHeight="true" outlineLevel="0" collapsed="false">
      <c r="A34" s="175"/>
      <c r="B34" s="237" t="s">
        <v>200</v>
      </c>
      <c r="C34" s="237"/>
      <c r="D34" s="237"/>
      <c r="E34" s="237"/>
      <c r="F34" s="237"/>
      <c r="G34" s="237"/>
      <c r="H34" s="237"/>
      <c r="I34" s="237"/>
      <c r="J34" s="237"/>
      <c r="K34" s="237"/>
      <c r="L34" s="237"/>
      <c r="M34" s="237"/>
      <c r="N34" s="237"/>
      <c r="O34" s="237"/>
      <c r="P34" s="237"/>
      <c r="Q34" s="175"/>
    </row>
    <row r="35" customFormat="false" ht="15" hidden="true" customHeight="true" outlineLevel="0" collapsed="false">
      <c r="A35" s="175"/>
      <c r="B35" s="177"/>
      <c r="C35" s="177"/>
      <c r="D35" s="177"/>
      <c r="E35" s="177"/>
      <c r="F35" s="177"/>
      <c r="G35" s="177"/>
      <c r="H35" s="177"/>
      <c r="I35" s="177"/>
      <c r="J35" s="177"/>
      <c r="K35" s="177"/>
      <c r="L35" s="177"/>
      <c r="M35" s="177"/>
      <c r="N35" s="177"/>
      <c r="O35" s="177"/>
      <c r="P35" s="177"/>
      <c r="Q35" s="175"/>
    </row>
    <row r="36" customFormat="false" ht="15" hidden="true" customHeight="true" outlineLevel="0" collapsed="false">
      <c r="A36" s="175"/>
      <c r="F36" s="175"/>
      <c r="K36" s="175"/>
      <c r="L36" s="175"/>
      <c r="M36" s="175"/>
      <c r="N36" s="185" t="s">
        <v>201</v>
      </c>
      <c r="O36" s="185"/>
      <c r="P36" s="185"/>
      <c r="Q36" s="175"/>
    </row>
    <row r="37" customFormat="false" ht="15" hidden="true" customHeight="true" outlineLevel="0" collapsed="false">
      <c r="A37" s="175"/>
      <c r="C37" s="238" t="s">
        <v>202</v>
      </c>
      <c r="D37" s="239" t="s">
        <v>203</v>
      </c>
      <c r="E37" s="239" t="s">
        <v>204</v>
      </c>
      <c r="F37" s="175"/>
      <c r="K37" s="175"/>
      <c r="L37" s="175"/>
      <c r="M37" s="175"/>
      <c r="N37" s="177"/>
      <c r="O37" s="177"/>
      <c r="P37" s="177"/>
      <c r="Q37" s="175"/>
    </row>
    <row r="38" customFormat="false" ht="15" hidden="true" customHeight="true" outlineLevel="0" collapsed="false">
      <c r="A38" s="175"/>
      <c r="C38" s="240" t="s">
        <v>205</v>
      </c>
      <c r="D38" s="241" t="s">
        <v>206</v>
      </c>
      <c r="E38" s="241" t="s">
        <v>207</v>
      </c>
      <c r="F38" s="175"/>
      <c r="K38" s="175"/>
      <c r="L38" s="175"/>
      <c r="M38" s="175"/>
      <c r="N38" s="242"/>
      <c r="O38" s="239" t="s">
        <v>208</v>
      </c>
      <c r="P38" s="239" t="s">
        <v>209</v>
      </c>
      <c r="Q38" s="175"/>
    </row>
    <row r="39" customFormat="false" ht="15" hidden="true" customHeight="true" outlineLevel="0" collapsed="false">
      <c r="A39" s="175"/>
      <c r="C39" s="240" t="s">
        <v>181</v>
      </c>
      <c r="D39" s="241" t="s">
        <v>210</v>
      </c>
      <c r="E39" s="241" t="s">
        <v>211</v>
      </c>
      <c r="K39" s="175"/>
      <c r="L39" s="175"/>
      <c r="M39" s="175"/>
      <c r="N39" s="243" t="s">
        <v>212</v>
      </c>
      <c r="O39" s="244" t="n">
        <v>1</v>
      </c>
      <c r="P39" s="244" t="n">
        <f aca="false">AVSS-0.5</f>
        <v>-0.5</v>
      </c>
      <c r="Q39" s="175"/>
    </row>
    <row r="40" customFormat="false" ht="15" hidden="true" customHeight="true" outlineLevel="0" collapsed="false">
      <c r="A40" s="175"/>
      <c r="K40" s="175"/>
      <c r="L40" s="175"/>
      <c r="M40" s="175"/>
      <c r="N40" s="245"/>
      <c r="O40" s="244" t="n">
        <v>1</v>
      </c>
      <c r="P40" s="244" t="n">
        <f aca="false">AVDD+0.5</f>
        <v>3.8</v>
      </c>
      <c r="Q40" s="175"/>
      <c r="R40" s="175"/>
      <c r="S40" s="175"/>
      <c r="T40" s="175"/>
    </row>
    <row r="41" customFormat="false" ht="15" hidden="true" customHeight="true" outlineLevel="0" collapsed="false">
      <c r="A41" s="175"/>
      <c r="C41" s="246" t="s">
        <v>213</v>
      </c>
      <c r="D41" s="246"/>
      <c r="E41" s="246"/>
      <c r="K41" s="175"/>
      <c r="L41" s="175"/>
      <c r="M41" s="175"/>
      <c r="N41" s="175"/>
      <c r="O41" s="175"/>
      <c r="P41" s="175"/>
      <c r="Q41" s="175"/>
      <c r="R41" s="175"/>
      <c r="S41" s="175"/>
      <c r="T41" s="175"/>
    </row>
    <row r="42" customFormat="false" ht="15" hidden="true" customHeight="true" outlineLevel="0" collapsed="false">
      <c r="A42" s="175"/>
      <c r="C42" s="247" t="s">
        <v>214</v>
      </c>
      <c r="D42" s="247"/>
      <c r="E42" s="244" t="n">
        <f aca="false">'PGA Common-Mode Range'!D8</f>
        <v>128</v>
      </c>
      <c r="F42" s="248" t="s">
        <v>215</v>
      </c>
      <c r="G42" s="248"/>
      <c r="H42" s="248"/>
      <c r="K42" s="175"/>
      <c r="L42" s="175"/>
      <c r="M42" s="175"/>
      <c r="N42" s="243" t="s">
        <v>171</v>
      </c>
      <c r="O42" s="249" t="n">
        <v>0</v>
      </c>
      <c r="P42" s="249" t="n">
        <f aca="false">AVDD</f>
        <v>3.3</v>
      </c>
      <c r="Q42" s="175"/>
      <c r="R42" s="175"/>
      <c r="S42" s="175"/>
      <c r="T42" s="175"/>
    </row>
    <row r="43" customFormat="false" ht="15" hidden="true" customHeight="true" outlineLevel="0" collapsed="false">
      <c r="A43" s="175"/>
      <c r="C43" s="247" t="s">
        <v>171</v>
      </c>
      <c r="D43" s="247"/>
      <c r="E43" s="244" t="n">
        <f aca="false">'PGA Common-Mode Range'!D10</f>
        <v>3.3</v>
      </c>
      <c r="F43" s="248"/>
      <c r="G43" s="248"/>
      <c r="H43" s="248"/>
      <c r="K43" s="177"/>
      <c r="L43" s="177"/>
      <c r="M43" s="177"/>
      <c r="N43" s="243"/>
      <c r="O43" s="249" t="n">
        <v>1.8</v>
      </c>
      <c r="P43" s="249" t="n">
        <f aca="false">AVDD</f>
        <v>3.3</v>
      </c>
      <c r="Q43" s="175"/>
      <c r="R43" s="175"/>
      <c r="S43" s="175"/>
      <c r="T43" s="175"/>
    </row>
    <row r="44" customFormat="false" ht="15" hidden="true" customHeight="true" outlineLevel="0" collapsed="false">
      <c r="A44" s="175"/>
      <c r="C44" s="247" t="s">
        <v>174</v>
      </c>
      <c r="D44" s="247"/>
      <c r="E44" s="244" t="n">
        <f aca="false">'PGA Common-Mode Range'!D11</f>
        <v>0</v>
      </c>
      <c r="F44" s="248"/>
      <c r="G44" s="248"/>
      <c r="H44" s="248"/>
      <c r="K44" s="177"/>
      <c r="L44" s="177"/>
      <c r="M44" s="177"/>
      <c r="N44" s="243" t="s">
        <v>174</v>
      </c>
      <c r="O44" s="249" t="n">
        <f aca="false">O42</f>
        <v>0</v>
      </c>
      <c r="P44" s="249" t="n">
        <f aca="false">AVSS</f>
        <v>0</v>
      </c>
      <c r="Q44" s="175"/>
      <c r="R44" s="175"/>
      <c r="S44" s="175"/>
      <c r="T44" s="175"/>
    </row>
    <row r="45" customFormat="false" ht="15" hidden="true" customHeight="true" outlineLevel="0" collapsed="false">
      <c r="A45" s="175"/>
      <c r="C45" s="247" t="s">
        <v>216</v>
      </c>
      <c r="D45" s="247"/>
      <c r="E45" s="244" t="n">
        <f aca="false">'PGA Common-Mode Range'!D13</f>
        <v>2.0565</v>
      </c>
      <c r="F45" s="248"/>
      <c r="G45" s="248"/>
      <c r="H45" s="248"/>
      <c r="K45" s="177"/>
      <c r="L45" s="177"/>
      <c r="M45" s="177"/>
      <c r="N45" s="243"/>
      <c r="O45" s="249" t="n">
        <f aca="false">O43</f>
        <v>1.8</v>
      </c>
      <c r="P45" s="249" t="n">
        <f aca="false">AVSS</f>
        <v>0</v>
      </c>
      <c r="Q45" s="175"/>
      <c r="R45" s="175"/>
      <c r="S45" s="175"/>
      <c r="T45" s="175"/>
    </row>
    <row r="46" customFormat="false" ht="15" hidden="true" customHeight="true" outlineLevel="0" collapsed="false">
      <c r="A46" s="175"/>
      <c r="B46" s="177"/>
      <c r="C46" s="247" t="s">
        <v>217</v>
      </c>
      <c r="D46" s="247"/>
      <c r="E46" s="244" t="n">
        <f aca="false">'PGA Common-Mode Range'!D14</f>
        <v>1.1265</v>
      </c>
      <c r="F46" s="248"/>
      <c r="G46" s="248"/>
      <c r="H46" s="248"/>
      <c r="J46" s="177"/>
      <c r="K46" s="177"/>
      <c r="L46" s="177"/>
      <c r="M46" s="177"/>
      <c r="N46" s="175"/>
      <c r="O46" s="175"/>
      <c r="P46" s="175"/>
      <c r="Q46" s="175"/>
      <c r="R46" s="175"/>
      <c r="S46" s="175"/>
      <c r="T46" s="175"/>
    </row>
    <row r="47" customFormat="false" ht="15" hidden="true" customHeight="true" outlineLevel="0" collapsed="false">
      <c r="A47" s="175"/>
      <c r="B47" s="177"/>
      <c r="C47" s="247" t="s">
        <v>218</v>
      </c>
      <c r="D47" s="247"/>
      <c r="E47" s="244" t="n">
        <f aca="false">IF(INPUT_MODE=C38,D19,D20+D19/2)</f>
        <v>1.1265</v>
      </c>
      <c r="F47" s="248"/>
      <c r="G47" s="248"/>
      <c r="H47" s="248"/>
      <c r="J47" s="177"/>
      <c r="K47" s="177"/>
      <c r="L47" s="177"/>
      <c r="M47" s="177"/>
      <c r="N47" s="243" t="s">
        <v>218</v>
      </c>
      <c r="O47" s="249" t="n">
        <v>0.4</v>
      </c>
      <c r="P47" s="249" t="n">
        <f aca="false">VINP</f>
        <v>1.1265</v>
      </c>
      <c r="Q47" s="175"/>
      <c r="R47" s="175"/>
      <c r="S47" s="175"/>
      <c r="T47" s="175"/>
    </row>
    <row r="48" customFormat="false" ht="15" hidden="true" customHeight="true" outlineLevel="0" collapsed="false">
      <c r="A48" s="175"/>
      <c r="B48" s="177"/>
      <c r="C48" s="247" t="s">
        <v>219</v>
      </c>
      <c r="D48" s="247"/>
      <c r="E48" s="244" t="n">
        <f aca="false">IF(INPUT_MODE=C38,D20,D20-D19/2)</f>
        <v>1.125</v>
      </c>
      <c r="F48" s="248"/>
      <c r="G48" s="248"/>
      <c r="H48" s="248"/>
      <c r="J48" s="177"/>
      <c r="K48" s="175"/>
      <c r="L48" s="175"/>
      <c r="M48" s="177"/>
      <c r="N48" s="243"/>
      <c r="O48" s="249" t="n">
        <v>0.6</v>
      </c>
      <c r="P48" s="249" t="n">
        <f aca="false">VINP</f>
        <v>1.1265</v>
      </c>
      <c r="Q48" s="175"/>
      <c r="R48" s="175"/>
      <c r="S48" s="175"/>
      <c r="T48" s="175"/>
    </row>
    <row r="49" customFormat="false" ht="15" hidden="true" customHeight="true" outlineLevel="0" collapsed="false">
      <c r="A49" s="175"/>
      <c r="B49" s="177"/>
      <c r="F49" s="175"/>
      <c r="J49" s="177"/>
      <c r="K49" s="175"/>
      <c r="L49" s="175"/>
      <c r="M49" s="177"/>
      <c r="N49" s="243" t="s">
        <v>219</v>
      </c>
      <c r="O49" s="249" t="n">
        <f aca="false">O47</f>
        <v>0.4</v>
      </c>
      <c r="P49" s="249" t="n">
        <f aca="false">VINN</f>
        <v>1.125</v>
      </c>
      <c r="Q49" s="175"/>
      <c r="R49" s="175"/>
      <c r="S49" s="175"/>
      <c r="T49" s="175"/>
    </row>
    <row r="50" customFormat="false" ht="15" hidden="true" customHeight="true" outlineLevel="0" collapsed="false">
      <c r="A50" s="175"/>
      <c r="B50" s="177"/>
      <c r="C50" s="250" t="s">
        <v>220</v>
      </c>
      <c r="D50" s="250"/>
      <c r="E50" s="250"/>
      <c r="F50" s="177"/>
      <c r="J50" s="177"/>
      <c r="K50" s="175"/>
      <c r="L50" s="175"/>
      <c r="M50" s="177"/>
      <c r="N50" s="243"/>
      <c r="O50" s="249" t="n">
        <f aca="false">O48</f>
        <v>0.6</v>
      </c>
      <c r="P50" s="249" t="n">
        <f aca="false">VINN</f>
        <v>1.125</v>
      </c>
      <c r="Q50" s="175"/>
      <c r="R50" s="175"/>
      <c r="S50" s="175"/>
      <c r="T50" s="175"/>
    </row>
    <row r="51" customFormat="false" ht="15" hidden="true" customHeight="true" outlineLevel="0" collapsed="false">
      <c r="A51" s="175"/>
      <c r="B51" s="177"/>
      <c r="C51" s="251" t="s">
        <v>221</v>
      </c>
      <c r="D51" s="252" t="s">
        <v>166</v>
      </c>
      <c r="E51" s="253" t="s">
        <v>222</v>
      </c>
      <c r="F51" s="177"/>
      <c r="J51" s="177"/>
      <c r="K51" s="175"/>
      <c r="L51" s="175"/>
      <c r="M51" s="177"/>
      <c r="N51" s="243" t="s">
        <v>223</v>
      </c>
      <c r="O51" s="249" t="n">
        <f aca="false">(O48+O47)/2</f>
        <v>0.5</v>
      </c>
      <c r="P51" s="249" t="n">
        <f aca="false">P47</f>
        <v>1.1265</v>
      </c>
      <c r="Q51" s="175"/>
      <c r="R51" s="175"/>
      <c r="S51" s="175"/>
      <c r="T51" s="175"/>
    </row>
    <row r="52" customFormat="false" ht="15" hidden="true" customHeight="true" outlineLevel="0" collapsed="false">
      <c r="A52" s="175"/>
      <c r="B52" s="177"/>
      <c r="C52" s="254" t="s">
        <v>224</v>
      </c>
      <c r="D52" s="255" t="n">
        <v>1</v>
      </c>
      <c r="E52" s="256" t="n">
        <v>1</v>
      </c>
      <c r="F52" s="177"/>
      <c r="J52" s="177"/>
      <c r="K52" s="175"/>
      <c r="L52" s="175"/>
      <c r="M52" s="177"/>
      <c r="N52" s="243"/>
      <c r="O52" s="249" t="n">
        <f aca="false">O51</f>
        <v>0.5</v>
      </c>
      <c r="P52" s="249" t="n">
        <f aca="false">P49</f>
        <v>1.125</v>
      </c>
      <c r="Q52" s="175"/>
      <c r="R52" s="175"/>
      <c r="S52" s="175"/>
      <c r="T52" s="175"/>
    </row>
    <row r="53" customFormat="false" ht="15" hidden="true" customHeight="true" outlineLevel="0" collapsed="false">
      <c r="A53" s="175"/>
      <c r="B53" s="177"/>
      <c r="C53" s="257" t="n">
        <v>1</v>
      </c>
      <c r="D53" s="244" t="n">
        <v>1</v>
      </c>
      <c r="E53" s="258" t="n">
        <v>1</v>
      </c>
      <c r="F53" s="177"/>
      <c r="J53" s="177"/>
      <c r="K53" s="175"/>
      <c r="L53" s="175"/>
      <c r="M53" s="177"/>
      <c r="N53" s="175"/>
      <c r="O53" s="175"/>
      <c r="P53" s="175"/>
      <c r="Q53" s="175"/>
      <c r="R53" s="175"/>
      <c r="S53" s="175"/>
      <c r="T53" s="175"/>
    </row>
    <row r="54" customFormat="false" ht="15" hidden="true" customHeight="true" outlineLevel="0" collapsed="false">
      <c r="A54" s="175"/>
      <c r="B54" s="177"/>
      <c r="C54" s="257" t="n">
        <v>2</v>
      </c>
      <c r="D54" s="244" t="n">
        <v>2</v>
      </c>
      <c r="E54" s="258" t="n">
        <v>1</v>
      </c>
      <c r="F54" s="177"/>
      <c r="J54" s="177"/>
      <c r="K54" s="175"/>
      <c r="L54" s="175"/>
      <c r="M54" s="177"/>
      <c r="N54" s="243" t="s">
        <v>225</v>
      </c>
      <c r="O54" s="249" t="n">
        <v>1.4</v>
      </c>
      <c r="P54" s="249" t="n">
        <f aca="false">VOUTP_CLAMP</f>
        <v>1.22175</v>
      </c>
      <c r="Q54" s="175"/>
      <c r="R54" s="175"/>
      <c r="S54" s="175"/>
      <c r="T54" s="175"/>
    </row>
    <row r="55" customFormat="false" ht="15" hidden="true" customHeight="true" outlineLevel="0" collapsed="false">
      <c r="A55" s="175"/>
      <c r="B55" s="177"/>
      <c r="C55" s="257" t="n">
        <v>4</v>
      </c>
      <c r="D55" s="244" t="n">
        <v>4</v>
      </c>
      <c r="E55" s="258" t="n">
        <v>1</v>
      </c>
      <c r="F55" s="177"/>
      <c r="J55" s="177"/>
      <c r="K55" s="175"/>
      <c r="L55" s="175"/>
      <c r="M55" s="177"/>
      <c r="N55" s="243"/>
      <c r="O55" s="249" t="n">
        <v>1.6</v>
      </c>
      <c r="P55" s="249" t="n">
        <f aca="false">P54</f>
        <v>1.22175</v>
      </c>
      <c r="Q55" s="175"/>
      <c r="R55" s="175"/>
      <c r="S55" s="175"/>
      <c r="T55" s="175"/>
    </row>
    <row r="56" customFormat="false" ht="15" hidden="true" customHeight="true" outlineLevel="0" collapsed="false">
      <c r="A56" s="175"/>
      <c r="B56" s="177"/>
      <c r="C56" s="257" t="n">
        <v>8</v>
      </c>
      <c r="D56" s="244" t="n">
        <v>8</v>
      </c>
      <c r="E56" s="258" t="n">
        <v>1</v>
      </c>
      <c r="F56" s="175"/>
      <c r="J56" s="177"/>
      <c r="K56" s="175"/>
      <c r="L56" s="175"/>
      <c r="M56" s="177"/>
      <c r="N56" s="243" t="s">
        <v>226</v>
      </c>
      <c r="O56" s="249" t="n">
        <f aca="false">O54</f>
        <v>1.4</v>
      </c>
      <c r="P56" s="249" t="n">
        <f aca="false">VOUTN_CLAMP</f>
        <v>1.02975</v>
      </c>
      <c r="Q56" s="175"/>
      <c r="R56" s="175"/>
      <c r="S56" s="175"/>
      <c r="T56" s="175"/>
    </row>
    <row r="57" customFormat="false" ht="15" hidden="true" customHeight="true" outlineLevel="0" collapsed="false">
      <c r="A57" s="175"/>
      <c r="B57" s="177"/>
      <c r="C57" s="257" t="n">
        <v>16</v>
      </c>
      <c r="D57" s="244" t="n">
        <v>16</v>
      </c>
      <c r="E57" s="258" t="n">
        <v>1</v>
      </c>
      <c r="F57" s="177"/>
      <c r="J57" s="177"/>
      <c r="K57" s="175"/>
      <c r="L57" s="175"/>
      <c r="M57" s="177"/>
      <c r="N57" s="243"/>
      <c r="O57" s="249" t="n">
        <f aca="false">O55</f>
        <v>1.6</v>
      </c>
      <c r="P57" s="249" t="n">
        <f aca="false">P56</f>
        <v>1.02975</v>
      </c>
      <c r="Q57" s="175"/>
      <c r="R57" s="175"/>
      <c r="S57" s="175"/>
      <c r="T57" s="175"/>
    </row>
    <row r="58" customFormat="false" ht="15" hidden="true" customHeight="true" outlineLevel="0" collapsed="false">
      <c r="A58" s="175"/>
      <c r="B58" s="177"/>
      <c r="C58" s="257" t="n">
        <v>32</v>
      </c>
      <c r="D58" s="244" t="n">
        <v>32</v>
      </c>
      <c r="E58" s="258" t="n">
        <v>1</v>
      </c>
      <c r="F58" s="177"/>
      <c r="J58" s="177"/>
      <c r="K58" s="175"/>
      <c r="L58" s="175"/>
      <c r="M58" s="177"/>
      <c r="N58" s="243" t="s">
        <v>227</v>
      </c>
      <c r="O58" s="249" t="n">
        <f aca="false">(O55+O54)/2</f>
        <v>1.5</v>
      </c>
      <c r="P58" s="249" t="n">
        <f aca="false">P54</f>
        <v>1.22175</v>
      </c>
      <c r="Q58" s="175"/>
      <c r="R58" s="175"/>
      <c r="S58" s="175"/>
      <c r="T58" s="175"/>
    </row>
    <row r="59" customFormat="false" ht="15" hidden="true" customHeight="true" outlineLevel="0" collapsed="false">
      <c r="A59" s="177"/>
      <c r="B59" s="177"/>
      <c r="C59" s="257" t="n">
        <v>64</v>
      </c>
      <c r="D59" s="244" t="n">
        <v>64</v>
      </c>
      <c r="E59" s="258" t="n">
        <v>1</v>
      </c>
      <c r="F59" s="175"/>
      <c r="J59" s="175"/>
      <c r="K59" s="175"/>
      <c r="L59" s="175"/>
      <c r="M59" s="177"/>
      <c r="N59" s="243"/>
      <c r="O59" s="249" t="n">
        <f aca="false">O58</f>
        <v>1.5</v>
      </c>
      <c r="P59" s="249" t="n">
        <f aca="false">P56</f>
        <v>1.02975</v>
      </c>
      <c r="Q59" s="175"/>
      <c r="R59" s="175"/>
      <c r="S59" s="177"/>
      <c r="T59" s="177"/>
    </row>
    <row r="60" customFormat="false" ht="15" hidden="true" customHeight="true" outlineLevel="0" collapsed="false">
      <c r="A60" s="177"/>
      <c r="B60" s="175"/>
      <c r="C60" s="259" t="n">
        <v>128</v>
      </c>
      <c r="D60" s="260" t="n">
        <v>128</v>
      </c>
      <c r="E60" s="261" t="n">
        <v>1</v>
      </c>
      <c r="F60" s="175"/>
      <c r="J60" s="175"/>
      <c r="K60" s="175"/>
      <c r="L60" s="175"/>
      <c r="M60" s="175"/>
      <c r="N60" s="175"/>
      <c r="O60" s="175"/>
      <c r="P60" s="175"/>
      <c r="Q60" s="175"/>
      <c r="R60" s="175"/>
      <c r="S60" s="177"/>
      <c r="T60" s="177"/>
    </row>
    <row r="61" customFormat="false" ht="15" hidden="true" customHeight="true" outlineLevel="0" collapsed="false">
      <c r="A61" s="177"/>
      <c r="B61" s="175"/>
      <c r="F61" s="175"/>
      <c r="J61" s="175"/>
      <c r="K61" s="175"/>
      <c r="L61" s="175"/>
      <c r="M61" s="175"/>
      <c r="N61" s="243" t="s">
        <v>228</v>
      </c>
      <c r="O61" s="244" t="n">
        <f aca="false">O48+0.01</f>
        <v>0.61</v>
      </c>
      <c r="P61" s="244" t="n">
        <f aca="false">P47</f>
        <v>1.1265</v>
      </c>
      <c r="Q61" s="175"/>
      <c r="R61" s="175"/>
      <c r="S61" s="177"/>
      <c r="T61" s="177"/>
    </row>
    <row r="62" customFormat="false" ht="15" hidden="true" customHeight="true" outlineLevel="0" collapsed="false">
      <c r="A62" s="177"/>
      <c r="B62" s="175"/>
      <c r="C62" s="246" t="s">
        <v>229</v>
      </c>
      <c r="D62" s="246"/>
      <c r="E62" s="246"/>
      <c r="F62" s="175"/>
      <c r="J62" s="175"/>
      <c r="K62" s="175"/>
      <c r="L62" s="175"/>
      <c r="M62" s="175"/>
      <c r="N62" s="243" t="s">
        <v>230</v>
      </c>
      <c r="O62" s="249" t="n">
        <f aca="false">O54-0.01</f>
        <v>1.39</v>
      </c>
      <c r="P62" s="249" t="n">
        <f aca="false">P54</f>
        <v>1.22175</v>
      </c>
      <c r="Q62" s="175"/>
      <c r="R62" s="175"/>
      <c r="S62" s="177"/>
      <c r="T62" s="177"/>
    </row>
    <row r="63" customFormat="false" ht="15" hidden="true" customHeight="true" outlineLevel="0" collapsed="false">
      <c r="A63" s="177"/>
      <c r="B63" s="175"/>
      <c r="C63" s="247" t="s">
        <v>166</v>
      </c>
      <c r="D63" s="247"/>
      <c r="E63" s="244" t="n">
        <f aca="false">VLOOKUP(User_Selected_Gain,$C$52:$E$60,2,FALSE())</f>
        <v>128</v>
      </c>
      <c r="J63" s="175"/>
      <c r="K63" s="175"/>
      <c r="L63" s="175"/>
      <c r="M63" s="175"/>
      <c r="N63" s="243" t="s">
        <v>231</v>
      </c>
      <c r="O63" s="249" t="n">
        <f aca="false">O61</f>
        <v>0.61</v>
      </c>
      <c r="P63" s="249" t="n">
        <f aca="false">P49</f>
        <v>1.125</v>
      </c>
      <c r="Q63" s="175"/>
      <c r="R63" s="175"/>
      <c r="S63" s="177"/>
      <c r="T63" s="177"/>
    </row>
    <row r="64" customFormat="false" ht="15" hidden="true" customHeight="true" outlineLevel="0" collapsed="false">
      <c r="A64" s="177"/>
      <c r="B64" s="175"/>
      <c r="C64" s="247" t="s">
        <v>222</v>
      </c>
      <c r="D64" s="247"/>
      <c r="E64" s="244" t="n">
        <f aca="false">VLOOKUP(User_Selected_Gain,$C$52:$E$60,3,FALSE())</f>
        <v>1</v>
      </c>
      <c r="F64" s="175"/>
      <c r="J64" s="175"/>
      <c r="K64" s="175"/>
      <c r="L64" s="175"/>
      <c r="M64" s="175"/>
      <c r="N64" s="243" t="s">
        <v>230</v>
      </c>
      <c r="O64" s="249" t="n">
        <f aca="false">O62</f>
        <v>1.39</v>
      </c>
      <c r="P64" s="249" t="n">
        <f aca="false">P56</f>
        <v>1.02975</v>
      </c>
      <c r="Q64" s="175"/>
      <c r="R64" s="175"/>
      <c r="S64" s="177"/>
      <c r="T64" s="177"/>
    </row>
    <row r="65" customFormat="false" ht="15" hidden="true" customHeight="true" outlineLevel="0" collapsed="false">
      <c r="A65" s="177"/>
      <c r="B65" s="175"/>
      <c r="C65" s="247" t="s">
        <v>232</v>
      </c>
      <c r="D65" s="247"/>
      <c r="E65" s="244" t="n">
        <f aca="false">PGA_Gain*SC_Gain</f>
        <v>128</v>
      </c>
      <c r="F65" s="175"/>
      <c r="J65" s="175"/>
      <c r="K65" s="175"/>
      <c r="L65" s="175"/>
      <c r="M65" s="175"/>
      <c r="N65" s="175"/>
      <c r="O65" s="175"/>
      <c r="P65" s="175"/>
      <c r="Q65" s="175"/>
      <c r="R65" s="175"/>
      <c r="S65" s="177"/>
      <c r="T65" s="177"/>
    </row>
    <row r="66" customFormat="false" ht="15" hidden="true" customHeight="true" outlineLevel="0" collapsed="false">
      <c r="A66" s="177"/>
      <c r="B66" s="175"/>
      <c r="C66" s="247" t="s">
        <v>233</v>
      </c>
      <c r="D66" s="247"/>
      <c r="E66" s="249" t="n">
        <f aca="false">(AVDD+AVSS)/2</f>
        <v>1.65</v>
      </c>
      <c r="F66" s="175"/>
      <c r="J66" s="175"/>
      <c r="K66" s="175"/>
      <c r="L66" s="175"/>
      <c r="M66" s="175"/>
      <c r="N66" s="243" t="s">
        <v>234</v>
      </c>
      <c r="O66" s="249" t="n">
        <v>0</v>
      </c>
      <c r="P66" s="262" t="n">
        <f aca="false">MIN(E98+VIN_DIFF/2,AVDD-Swing_to_Rail)</f>
        <v>3.00475</v>
      </c>
      <c r="Q66" s="175"/>
      <c r="R66" s="175"/>
      <c r="S66" s="177"/>
      <c r="T66" s="177"/>
    </row>
    <row r="67" customFormat="false" ht="15" hidden="true" customHeight="true" outlineLevel="0" collapsed="false">
      <c r="A67" s="177"/>
      <c r="B67" s="175"/>
      <c r="C67" s="247" t="s">
        <v>235</v>
      </c>
      <c r="D67" s="247"/>
      <c r="E67" s="263" t="n">
        <f aca="false">IF(User_Selected_Gain=$C$52,-0.1,0.2)</f>
        <v>0.2</v>
      </c>
      <c r="F67" s="175"/>
      <c r="J67" s="175"/>
      <c r="K67" s="175"/>
      <c r="L67" s="175"/>
      <c r="M67" s="175"/>
      <c r="N67" s="243"/>
      <c r="O67" s="249" t="n">
        <f aca="false">O39</f>
        <v>1</v>
      </c>
      <c r="P67" s="262" t="n">
        <f aca="false">P66</f>
        <v>3.00475</v>
      </c>
      <c r="Q67" s="175"/>
      <c r="R67" s="175"/>
      <c r="S67" s="177"/>
      <c r="T67" s="177"/>
    </row>
    <row r="68" customFormat="false" ht="15" hidden="true" customHeight="true" outlineLevel="0" collapsed="false">
      <c r="A68" s="175"/>
      <c r="B68" s="175"/>
      <c r="C68" s="264" t="s">
        <v>236</v>
      </c>
      <c r="D68" s="264"/>
      <c r="E68" s="249" t="n">
        <f aca="false">(VINP+VINN)/2</f>
        <v>1.12575</v>
      </c>
      <c r="F68" s="175"/>
      <c r="J68" s="175"/>
      <c r="K68" s="175"/>
      <c r="L68" s="175"/>
      <c r="M68" s="175"/>
      <c r="N68" s="243" t="s">
        <v>237</v>
      </c>
      <c r="O68" s="249" t="n">
        <f aca="false">O66</f>
        <v>0</v>
      </c>
      <c r="P68" s="262" t="n">
        <f aca="false">MAX(E99-VIN_DIFF/2,AVSS+Swing_to_Rail)</f>
        <v>0.82425</v>
      </c>
      <c r="Q68" s="175"/>
      <c r="R68" s="175"/>
      <c r="S68" s="175"/>
      <c r="T68" s="175"/>
    </row>
    <row r="69" customFormat="false" ht="15" hidden="true" customHeight="true" outlineLevel="0" collapsed="false">
      <c r="A69" s="175"/>
      <c r="B69" s="175"/>
      <c r="C69" s="264" t="s">
        <v>238</v>
      </c>
      <c r="D69" s="264"/>
      <c r="E69" s="244" t="n">
        <f aca="false">VINP-VINN</f>
        <v>0.00150000000000006</v>
      </c>
      <c r="F69" s="175"/>
      <c r="J69" s="175"/>
      <c r="K69" s="175"/>
      <c r="L69" s="175"/>
      <c r="M69" s="175"/>
      <c r="N69" s="243"/>
      <c r="O69" s="249" t="n">
        <f aca="false">O39</f>
        <v>1</v>
      </c>
      <c r="P69" s="262" t="n">
        <f aca="false">P68</f>
        <v>0.82425</v>
      </c>
      <c r="Q69" s="175"/>
      <c r="R69" s="175"/>
      <c r="S69" s="175"/>
      <c r="T69" s="175"/>
    </row>
    <row r="70" customFormat="false" ht="15" hidden="true" customHeight="true" outlineLevel="0" collapsed="false">
      <c r="A70" s="175"/>
      <c r="B70" s="175"/>
      <c r="C70" s="264" t="s">
        <v>239</v>
      </c>
      <c r="D70" s="264"/>
      <c r="E70" s="262" t="n">
        <f aca="false">MIN(POS_FULL_SCALE,(AVDD-AVSS)-2*Swing_to_Rail)/Total_Gain</f>
        <v>0.007265625</v>
      </c>
      <c r="F70" s="265" t="s">
        <v>240</v>
      </c>
      <c r="G70" s="175"/>
      <c r="J70" s="175"/>
      <c r="K70" s="175"/>
      <c r="L70" s="175"/>
      <c r="M70" s="175"/>
      <c r="N70" s="243" t="s">
        <v>241</v>
      </c>
      <c r="O70" s="249" t="n">
        <f aca="false">O39</f>
        <v>1</v>
      </c>
      <c r="P70" s="249" t="n">
        <f aca="false">AVDD-Swing_to_Rail</f>
        <v>3.1</v>
      </c>
      <c r="Q70" s="175"/>
      <c r="R70" s="175"/>
      <c r="S70" s="175"/>
      <c r="T70" s="175"/>
    </row>
    <row r="71" customFormat="false" ht="15" hidden="true" customHeight="true" outlineLevel="0" collapsed="false">
      <c r="A71" s="175"/>
      <c r="B71" s="175"/>
      <c r="C71" s="247" t="s">
        <v>242</v>
      </c>
      <c r="D71" s="247"/>
      <c r="E71" s="244" t="n">
        <f aca="false">VREFP-VREFN</f>
        <v>0.93</v>
      </c>
      <c r="F71" s="175"/>
      <c r="J71" s="175"/>
      <c r="K71" s="175"/>
      <c r="L71" s="175"/>
      <c r="M71" s="175"/>
      <c r="N71" s="243"/>
      <c r="O71" s="249" t="n">
        <f aca="false">O43</f>
        <v>1.8</v>
      </c>
      <c r="P71" s="249" t="n">
        <f aca="false">AVDD-Swing_to_Rail</f>
        <v>3.1</v>
      </c>
      <c r="Q71" s="175"/>
      <c r="R71" s="175"/>
      <c r="S71" s="175"/>
      <c r="T71" s="175"/>
    </row>
    <row r="72" customFormat="false" ht="15" hidden="true" customHeight="true" outlineLevel="0" collapsed="false">
      <c r="A72" s="175"/>
      <c r="B72" s="175"/>
      <c r="C72" s="247" t="s">
        <v>243</v>
      </c>
      <c r="D72" s="247"/>
      <c r="E72" s="263" t="n">
        <v>2</v>
      </c>
      <c r="F72" s="175"/>
      <c r="J72" s="175"/>
      <c r="K72" s="175"/>
      <c r="L72" s="175"/>
      <c r="M72" s="175"/>
      <c r="N72" s="243" t="s">
        <v>244</v>
      </c>
      <c r="O72" s="249" t="n">
        <f aca="false">O39</f>
        <v>1</v>
      </c>
      <c r="P72" s="249" t="n">
        <f aca="false">AVSS+Swing_to_Rail</f>
        <v>0.2</v>
      </c>
      <c r="Q72" s="175"/>
      <c r="R72" s="175"/>
      <c r="S72" s="175"/>
      <c r="T72" s="175"/>
    </row>
    <row r="73" customFormat="false" ht="15" hidden="true" customHeight="true" outlineLevel="0" collapsed="false">
      <c r="A73" s="175"/>
      <c r="B73" s="175"/>
      <c r="C73" s="247" t="s">
        <v>245</v>
      </c>
      <c r="D73" s="247"/>
      <c r="E73" s="244" t="n">
        <f aca="false">(FSR_MULT/2)*VREF</f>
        <v>0.93</v>
      </c>
      <c r="F73" s="175"/>
      <c r="H73" s="175"/>
      <c r="J73" s="175"/>
      <c r="K73" s="175"/>
      <c r="L73" s="175"/>
      <c r="M73" s="175"/>
      <c r="N73" s="243"/>
      <c r="O73" s="249" t="n">
        <f aca="false">O43</f>
        <v>1.8</v>
      </c>
      <c r="P73" s="249" t="n">
        <f aca="false">AVSS+Swing_to_Rail</f>
        <v>0.2</v>
      </c>
      <c r="Q73" s="175"/>
      <c r="R73" s="175"/>
      <c r="S73" s="175"/>
      <c r="T73" s="175"/>
    </row>
    <row r="74" customFormat="false" ht="15" hidden="true" customHeight="true" outlineLevel="0" collapsed="false">
      <c r="A74" s="175"/>
      <c r="B74" s="175"/>
      <c r="C74" s="247" t="s">
        <v>246</v>
      </c>
      <c r="D74" s="247"/>
      <c r="E74" s="244" t="n">
        <f aca="false">(VCM+((VIN_DIFF*PGA_Gain)/2))</f>
        <v>1.22175</v>
      </c>
      <c r="F74" s="265" t="s">
        <v>247</v>
      </c>
      <c r="G74" s="175"/>
      <c r="H74" s="175"/>
      <c r="I74" s="175"/>
      <c r="J74" s="175"/>
      <c r="K74" s="175"/>
      <c r="L74" s="175"/>
      <c r="M74" s="175"/>
      <c r="N74" s="175"/>
      <c r="O74" s="175"/>
      <c r="P74" s="175"/>
      <c r="Q74" s="175"/>
      <c r="R74" s="175"/>
      <c r="S74" s="175"/>
      <c r="T74" s="175"/>
    </row>
    <row r="75" customFormat="false" ht="15" hidden="true" customHeight="true" outlineLevel="0" collapsed="false">
      <c r="A75" s="175"/>
      <c r="B75" s="175"/>
      <c r="C75" s="247" t="s">
        <v>248</v>
      </c>
      <c r="D75" s="247"/>
      <c r="E75" s="244" t="n">
        <f aca="false">(VCM-((VIN_DIFF*PGA_Gain)/2))</f>
        <v>1.02975</v>
      </c>
      <c r="F75" s="175"/>
      <c r="G75" s="175"/>
      <c r="H75" s="175"/>
      <c r="I75" s="175"/>
      <c r="J75" s="175"/>
      <c r="K75" s="175"/>
      <c r="L75" s="175"/>
      <c r="M75" s="175"/>
      <c r="N75" s="240" t="s">
        <v>249</v>
      </c>
      <c r="O75" s="240" t="n">
        <v>1.8</v>
      </c>
      <c r="P75" s="175"/>
      <c r="Q75" s="175"/>
      <c r="R75" s="175"/>
      <c r="S75" s="175"/>
      <c r="T75" s="175"/>
    </row>
    <row r="76" customFormat="false" ht="15" hidden="true" customHeight="true" outlineLevel="0" collapsed="false">
      <c r="A76" s="175"/>
      <c r="B76" s="175"/>
      <c r="C76" s="247" t="s">
        <v>250</v>
      </c>
      <c r="D76" s="247"/>
      <c r="E76" s="244" t="n">
        <f aca="false">MAX(MIN(VOUTP,AVDD-Swing_to_Rail),AVSS+Swing_to_Rail)</f>
        <v>1.22175</v>
      </c>
      <c r="F76" s="265" t="s">
        <v>251</v>
      </c>
      <c r="G76" s="175"/>
      <c r="H76" s="175"/>
      <c r="I76" s="175"/>
      <c r="J76" s="175"/>
      <c r="K76" s="175"/>
      <c r="L76" s="175"/>
      <c r="M76" s="175"/>
      <c r="N76" s="240" t="s">
        <v>252</v>
      </c>
      <c r="O76" s="240" t="n">
        <v>6</v>
      </c>
      <c r="P76" s="175"/>
      <c r="Q76" s="175"/>
      <c r="R76" s="175"/>
      <c r="S76" s="175"/>
      <c r="T76" s="175"/>
    </row>
    <row r="77" customFormat="false" ht="15" hidden="true" customHeight="true" outlineLevel="0" collapsed="false">
      <c r="A77" s="175"/>
      <c r="B77" s="175"/>
      <c r="C77" s="247" t="s">
        <v>253</v>
      </c>
      <c r="D77" s="247"/>
      <c r="E77" s="244" t="n">
        <f aca="false">MIN(MAX(VOUTN,AVSS+Swing_to_Rail),AVDD-Swing_to_Rail)</f>
        <v>1.02975</v>
      </c>
      <c r="F77" s="265"/>
      <c r="G77" s="175"/>
      <c r="H77" s="175"/>
      <c r="I77" s="175"/>
      <c r="J77" s="175"/>
      <c r="K77" s="175"/>
      <c r="L77" s="175"/>
      <c r="M77" s="175"/>
      <c r="Q77" s="175"/>
      <c r="R77" s="175"/>
      <c r="S77" s="175"/>
      <c r="T77" s="175"/>
    </row>
    <row r="78" customFormat="false" ht="15" hidden="true" customHeight="true" outlineLevel="0" collapsed="false">
      <c r="A78" s="175"/>
      <c r="B78" s="175"/>
      <c r="C78" s="247" t="s">
        <v>254</v>
      </c>
      <c r="D78" s="247"/>
      <c r="E78" s="244" t="n">
        <f aca="false">VOUTP_CLAMP-VOUTN_CLAMP</f>
        <v>0.192000000000007</v>
      </c>
      <c r="F78" s="175"/>
      <c r="G78" s="175"/>
      <c r="H78" s="175"/>
      <c r="I78" s="175"/>
      <c r="J78" s="175"/>
      <c r="K78" s="175"/>
      <c r="L78" s="175"/>
      <c r="M78" s="175"/>
      <c r="N78" s="243" t="s">
        <v>255</v>
      </c>
      <c r="O78" s="249" t="n">
        <f aca="false">O83-0.1</f>
        <v>5.9</v>
      </c>
      <c r="P78" s="249" t="n">
        <f aca="false">VOUT_CM_CLAMPED+VREF/2</f>
        <v>1.59075</v>
      </c>
      <c r="Q78" s="175"/>
      <c r="R78" s="175"/>
      <c r="S78" s="175"/>
      <c r="T78" s="175"/>
    </row>
    <row r="79" customFormat="false" ht="15" hidden="true" customHeight="true" outlineLevel="0" collapsed="false">
      <c r="A79" s="175"/>
      <c r="B79" s="175"/>
      <c r="C79" s="247" t="s">
        <v>256</v>
      </c>
      <c r="D79" s="247"/>
      <c r="E79" s="244" t="n">
        <f aca="false">(VOUTP_CLAMP+VOUTN_CLAMP)/2</f>
        <v>1.12575</v>
      </c>
      <c r="F79" s="175"/>
      <c r="G79" s="175"/>
      <c r="H79" s="175"/>
      <c r="I79" s="175"/>
      <c r="J79" s="175"/>
      <c r="K79" s="175"/>
      <c r="L79" s="175"/>
      <c r="M79" s="175"/>
      <c r="N79" s="243"/>
      <c r="O79" s="249" t="n">
        <f aca="false">O82+0.1</f>
        <v>6.1</v>
      </c>
      <c r="P79" s="249" t="n">
        <f aca="false">P78</f>
        <v>1.59075</v>
      </c>
      <c r="Q79" s="175"/>
      <c r="R79" s="175"/>
      <c r="S79" s="175"/>
      <c r="T79" s="175"/>
    </row>
    <row r="80" customFormat="false" ht="15" hidden="true" customHeight="true" outlineLevel="0" collapsed="false">
      <c r="A80" s="175"/>
      <c r="B80" s="175"/>
      <c r="F80" s="175"/>
      <c r="G80" s="175"/>
      <c r="H80" s="175"/>
      <c r="I80" s="175"/>
      <c r="J80" s="175"/>
      <c r="K80" s="175"/>
      <c r="L80" s="175"/>
      <c r="M80" s="175"/>
      <c r="N80" s="243" t="s">
        <v>257</v>
      </c>
      <c r="O80" s="249" t="n">
        <f aca="false">O78</f>
        <v>5.9</v>
      </c>
      <c r="P80" s="249" t="n">
        <f aca="false">VOUT_CM_CLAMPED-VREF/2</f>
        <v>0.66075</v>
      </c>
      <c r="Q80" s="175"/>
      <c r="R80" s="175"/>
      <c r="S80" s="175"/>
      <c r="T80" s="175"/>
    </row>
    <row r="81" customFormat="false" ht="15" hidden="true" customHeight="true" outlineLevel="0" collapsed="false">
      <c r="A81" s="175"/>
      <c r="B81" s="175"/>
      <c r="C81" s="266" t="s">
        <v>258</v>
      </c>
      <c r="D81" s="266"/>
      <c r="E81" s="266"/>
      <c r="F81" s="267" t="s">
        <v>259</v>
      </c>
      <c r="G81" s="175"/>
      <c r="H81" s="265"/>
      <c r="I81" s="265"/>
      <c r="J81" s="265"/>
      <c r="K81" s="175"/>
      <c r="L81" s="175"/>
      <c r="M81" s="175"/>
      <c r="N81" s="243"/>
      <c r="O81" s="249" t="n">
        <f aca="false">O79</f>
        <v>6.1</v>
      </c>
      <c r="P81" s="249" t="n">
        <f aca="false">P80</f>
        <v>0.66075</v>
      </c>
      <c r="Q81" s="175"/>
      <c r="R81" s="175"/>
      <c r="S81" s="175"/>
      <c r="T81" s="175"/>
    </row>
    <row r="82" customFormat="false" ht="15" hidden="true" customHeight="true" outlineLevel="0" collapsed="false">
      <c r="A82" s="175"/>
      <c r="B82" s="175"/>
      <c r="C82" s="243"/>
      <c r="D82" s="268" t="s">
        <v>260</v>
      </c>
      <c r="E82" s="262" t="n">
        <f aca="false">IF(MIN(VINN+VIN_DIFF_MAX,$F$82,$F$83)&gt;F84,MIN(VINN+VIN_DIFF_MAX,$F$82,$F$83),F84)</f>
        <v>1.132265625</v>
      </c>
      <c r="F82" s="269" t="n">
        <f aca="false">(2*(AVDD-Swing_to_Rail)+VINN*(PGA_Gain-1))/(1+PGA_Gain)</f>
        <v>1.15562015503876</v>
      </c>
      <c r="G82" s="265" t="s">
        <v>261</v>
      </c>
      <c r="H82" s="265"/>
      <c r="I82" s="265"/>
      <c r="J82" s="265"/>
      <c r="K82" s="175"/>
      <c r="L82" s="175"/>
      <c r="M82" s="175"/>
      <c r="N82" s="243" t="s">
        <v>262</v>
      </c>
      <c r="O82" s="249" t="n">
        <f aca="false">IF(E126,SHOW_ERROR_X,HIDE_ERROR_X)</f>
        <v>6</v>
      </c>
      <c r="P82" s="249" t="n">
        <f aca="false">P78</f>
        <v>1.59075</v>
      </c>
      <c r="Q82" s="175"/>
      <c r="R82" s="175"/>
      <c r="S82" s="175"/>
      <c r="T82" s="175"/>
    </row>
    <row r="83" customFormat="false" ht="15" hidden="true" customHeight="true" outlineLevel="0" collapsed="false">
      <c r="A83" s="175"/>
      <c r="B83" s="175"/>
      <c r="C83" s="243"/>
      <c r="D83" s="268" t="s">
        <v>263</v>
      </c>
      <c r="E83" s="262" t="n">
        <f aca="false">MAX(VINN-VIN_DIFF_MAX,$F$84,$F$85,$F$86)</f>
        <v>1.117734375</v>
      </c>
      <c r="F83" s="270" t="n">
        <f aca="false">IF(PGA_Gain&gt;1,(2*(AVSS+Swing_to_Rail)-VINN*(1+PGA_Gain))/(1-PGA_Gain),AVDD-Swing_to_Rail)</f>
        <v>1.13956692913386</v>
      </c>
      <c r="G83" s="265" t="s">
        <v>264</v>
      </c>
      <c r="H83" s="265"/>
      <c r="I83" s="265"/>
      <c r="J83" s="265"/>
      <c r="K83" s="175"/>
      <c r="L83" s="175"/>
      <c r="M83" s="175"/>
      <c r="N83" s="243"/>
      <c r="O83" s="249" t="n">
        <f aca="false">O82</f>
        <v>6</v>
      </c>
      <c r="P83" s="249" t="n">
        <f aca="false">P80</f>
        <v>0.66075</v>
      </c>
      <c r="Q83" s="175"/>
      <c r="R83" s="175"/>
      <c r="S83" s="175"/>
      <c r="T83" s="175"/>
    </row>
    <row r="84" customFormat="false" ht="15" hidden="true" customHeight="true" outlineLevel="0" collapsed="false">
      <c r="A84" s="175"/>
      <c r="B84" s="175"/>
      <c r="C84" s="243"/>
      <c r="D84" s="268" t="s">
        <v>265</v>
      </c>
      <c r="E84" s="262" t="n">
        <f aca="false">IF(MIN(VINP+VIN_DIFF_MAX,$F$87,$F$88)&gt;F89,MIN(VINP+VIN_DIFF_MAX,$F$87,$F$88),F89)</f>
        <v>1.133765625</v>
      </c>
      <c r="F84" s="21" t="n">
        <f aca="false">2*AVSS+0.5*(AVDD-AVSS)-VINN</f>
        <v>0.525</v>
      </c>
      <c r="G84" s="21" t="s">
        <v>266</v>
      </c>
      <c r="L84" s="175"/>
      <c r="M84" s="175"/>
      <c r="N84" s="243" t="s">
        <v>267</v>
      </c>
      <c r="O84" s="249" t="n">
        <f aca="false">O85-0.1</f>
        <v>5.9</v>
      </c>
      <c r="P84" s="249" t="n">
        <f aca="false">VOUTP_CLAMP</f>
        <v>1.22175</v>
      </c>
      <c r="Q84" s="175"/>
      <c r="R84" s="175"/>
      <c r="S84" s="175"/>
      <c r="T84" s="175"/>
    </row>
    <row r="85" customFormat="false" ht="15" hidden="true" customHeight="true" outlineLevel="0" collapsed="false">
      <c r="A85" s="175"/>
      <c r="B85" s="175"/>
      <c r="C85" s="243"/>
      <c r="D85" s="268" t="s">
        <v>268</v>
      </c>
      <c r="E85" s="262" t="n">
        <f aca="false">MAX(VINP-VIN_DIFF_MAX,$F$89,$F$90,$F$91)</f>
        <v>1.119234375</v>
      </c>
      <c r="F85" s="269" t="n">
        <f aca="false">(2*(AVSS+Swing_to_Rail)-VINN*(1-PGA_Gain))/(1+PGA_Gain)</f>
        <v>1.11065891472868</v>
      </c>
      <c r="G85" s="265" t="s">
        <v>269</v>
      </c>
      <c r="H85" s="265"/>
      <c r="I85" s="265"/>
      <c r="J85" s="265"/>
      <c r="K85" s="175"/>
      <c r="L85" s="175"/>
      <c r="M85" s="175"/>
      <c r="N85" s="243"/>
      <c r="O85" s="249" t="n">
        <f aca="false">IF(E124,SHOW_ERROR_X,HIDE_ERROR_X)</f>
        <v>6</v>
      </c>
      <c r="P85" s="249" t="n">
        <f aca="false">P84</f>
        <v>1.22175</v>
      </c>
      <c r="Q85" s="175"/>
      <c r="R85" s="175"/>
      <c r="S85" s="175"/>
      <c r="T85" s="175"/>
    </row>
    <row r="86" customFormat="false" ht="15" hidden="true" customHeight="true" outlineLevel="0" collapsed="false">
      <c r="A86" s="175"/>
      <c r="B86" s="175"/>
      <c r="F86" s="271" t="n">
        <f aca="false">IF(PGA_Gain&gt;1,(2*(AVDD-Swing_to_Rail)-VINN*(1+PGA_Gain))/(1-PGA_Gain),AVSS+Swing_to_Rail)</f>
        <v>1.09389763779528</v>
      </c>
      <c r="G86" s="265" t="s">
        <v>270</v>
      </c>
      <c r="H86" s="265"/>
      <c r="I86" s="265"/>
      <c r="J86" s="265"/>
      <c r="K86" s="175"/>
      <c r="L86" s="175"/>
      <c r="M86" s="175"/>
      <c r="N86" s="243" t="s">
        <v>271</v>
      </c>
      <c r="O86" s="249" t="n">
        <f aca="false">O87-0.1</f>
        <v>5.9</v>
      </c>
      <c r="P86" s="249" t="n">
        <f aca="false">VOUTN_CLAMP</f>
        <v>1.02975</v>
      </c>
      <c r="Q86" s="175"/>
      <c r="R86" s="175"/>
      <c r="S86" s="175"/>
      <c r="T86" s="175"/>
    </row>
    <row r="87" customFormat="false" ht="15" hidden="true" customHeight="true" outlineLevel="0" collapsed="false">
      <c r="A87" s="175"/>
      <c r="B87" s="175"/>
      <c r="F87" s="269" t="n">
        <f aca="false">(2*(AVDD-Swing_to_Rail)-VINP*(1-PGA_Gain))/(1+PGA_Gain)</f>
        <v>1.15709689922481</v>
      </c>
      <c r="G87" s="265" t="s">
        <v>272</v>
      </c>
      <c r="H87" s="265"/>
      <c r="I87" s="265"/>
      <c r="J87" s="265"/>
      <c r="K87" s="175"/>
      <c r="L87" s="175"/>
      <c r="M87" s="175"/>
      <c r="N87" s="243"/>
      <c r="O87" s="249" t="n">
        <f aca="false">IF(E125,SHOW_ERROR_X,HIDE_ERROR_X)</f>
        <v>6</v>
      </c>
      <c r="P87" s="249" t="n">
        <f aca="false">P86</f>
        <v>1.02975</v>
      </c>
      <c r="Q87" s="175"/>
      <c r="R87" s="175"/>
      <c r="S87" s="175"/>
      <c r="T87" s="175"/>
    </row>
    <row r="88" customFormat="false" ht="15" hidden="true" customHeight="true" outlineLevel="0" collapsed="false">
      <c r="A88" s="175"/>
      <c r="B88" s="175"/>
      <c r="F88" s="271" t="n">
        <f aca="false">IF(PGA_Gain&gt;1,(2*(AVSS-Swing_to_Rail)-VINP*(1+PGA_Gain))/(1-PGA_Gain),AVDD-Swing_to_Rail)</f>
        <v>1.14738976377953</v>
      </c>
      <c r="G88" s="265" t="s">
        <v>273</v>
      </c>
      <c r="H88" s="265"/>
      <c r="I88" s="265"/>
      <c r="J88" s="265"/>
      <c r="K88" s="175"/>
      <c r="L88" s="175"/>
      <c r="M88" s="175"/>
      <c r="N88" s="175"/>
      <c r="O88" s="175"/>
      <c r="P88" s="175"/>
      <c r="Q88" s="175"/>
      <c r="R88" s="175"/>
      <c r="S88" s="175"/>
      <c r="T88" s="175"/>
    </row>
    <row r="89" customFormat="false" ht="15" hidden="true" customHeight="true" outlineLevel="0" collapsed="false">
      <c r="F89" s="21" t="n">
        <f aca="false">2*AVSS+0.5*(AVDD-AVSS)-VINP</f>
        <v>0.5235</v>
      </c>
      <c r="G89" s="21" t="s">
        <v>274</v>
      </c>
      <c r="L89" s="175"/>
      <c r="M89" s="175"/>
    </row>
    <row r="90" customFormat="false" ht="15" hidden="true" customHeight="true" outlineLevel="0" collapsed="false">
      <c r="C90" s="177"/>
      <c r="D90" s="177"/>
      <c r="E90" s="177"/>
      <c r="F90" s="269" t="n">
        <f aca="false">(2*(AVSS+Swing_to_Rail)-VINP*(1-PGA_Gain))/(1+PGA_Gain)</f>
        <v>1.11213565891473</v>
      </c>
      <c r="G90" s="265" t="s">
        <v>275</v>
      </c>
      <c r="H90" s="265"/>
      <c r="I90" s="265"/>
      <c r="J90" s="265"/>
      <c r="K90" s="175"/>
    </row>
    <row r="91" customFormat="false" ht="15" hidden="true" customHeight="true" outlineLevel="0" collapsed="false">
      <c r="C91" s="177"/>
      <c r="D91" s="177"/>
      <c r="E91" s="177"/>
      <c r="F91" s="271" t="n">
        <f aca="false">IF(PGA_Gain&gt;1,(2*(AVDD-Swing_to_Rail)-VINP*(1+PGA_Gain))/(1-PGA_Gain),AVSS+Swing_to_Rail)</f>
        <v>1.09542125984252</v>
      </c>
      <c r="G91" s="265" t="s">
        <v>276</v>
      </c>
    </row>
    <row r="92" customFormat="false" ht="15" hidden="true" customHeight="true" outlineLevel="0" collapsed="false">
      <c r="C92" s="177"/>
      <c r="D92" s="177"/>
      <c r="E92" s="177"/>
    </row>
    <row r="93" customFormat="false" ht="15" hidden="true" customHeight="true" outlineLevel="0" collapsed="false">
      <c r="C93" s="272" t="s">
        <v>277</v>
      </c>
      <c r="D93" s="272"/>
      <c r="E93" s="272"/>
    </row>
    <row r="94" customFormat="false" ht="15" hidden="true" customHeight="true" outlineLevel="0" collapsed="false">
      <c r="C94" s="243"/>
      <c r="D94" s="268" t="s">
        <v>278</v>
      </c>
      <c r="E94" s="262" t="n">
        <f aca="false">VIN_DIFF_MAX</f>
        <v>0.007265625</v>
      </c>
    </row>
    <row r="95" customFormat="false" ht="15" hidden="true" customHeight="true" outlineLevel="0" collapsed="false">
      <c r="C95" s="243"/>
      <c r="D95" s="268" t="s">
        <v>279</v>
      </c>
      <c r="E95" s="262" t="n">
        <f aca="false">-VIN_DIFF_MAX</f>
        <v>-0.007265625</v>
      </c>
    </row>
    <row r="96" customFormat="false" ht="15" hidden="true" customHeight="true" outlineLevel="0" collapsed="false">
      <c r="C96" s="177"/>
      <c r="D96" s="177"/>
      <c r="E96" s="177"/>
    </row>
    <row r="97" customFormat="false" ht="15" hidden="true" customHeight="true" outlineLevel="0" collapsed="false">
      <c r="C97" s="272" t="s">
        <v>280</v>
      </c>
      <c r="D97" s="272"/>
      <c r="E97" s="272"/>
    </row>
    <row r="98" customFormat="false" ht="15" hidden="true" customHeight="true" outlineLevel="0" collapsed="false">
      <c r="C98" s="268" t="s">
        <v>281</v>
      </c>
      <c r="D98" s="268"/>
      <c r="E98" s="262" t="n">
        <f aca="false">IF($E$116,MID_SUPPLY,AVDD-Swing_to_Rail-(ABS(VIN_DIFF)*PGA_Gain)/2)</f>
        <v>3.004</v>
      </c>
      <c r="F98" s="265" t="s">
        <v>282</v>
      </c>
    </row>
    <row r="99" customFormat="false" ht="15" hidden="true" customHeight="true" outlineLevel="0" collapsed="false">
      <c r="C99" s="268" t="s">
        <v>283</v>
      </c>
      <c r="D99" s="268"/>
      <c r="E99" s="262" t="n">
        <f aca="false">IF($E$116,MID_SUPPLY,MAX(AVSS+Swing_to_Rail+(ABS(VIN_DIFF)*PGA_Gain)/2,AVSS+(AVDD-AVSS)/4))</f>
        <v>0.825</v>
      </c>
      <c r="F99" s="21" t="s">
        <v>284</v>
      </c>
    </row>
    <row r="100" customFormat="false" ht="15" hidden="true" customHeight="true" outlineLevel="0" collapsed="false">
      <c r="C100" s="175"/>
      <c r="D100" s="175"/>
      <c r="E100" s="175"/>
    </row>
    <row r="101" customFormat="false" ht="15" hidden="true" customHeight="true" outlineLevel="0" collapsed="false">
      <c r="C101" s="272" t="s">
        <v>285</v>
      </c>
      <c r="D101" s="272"/>
      <c r="E101" s="272"/>
    </row>
    <row r="102" customFormat="false" ht="15" hidden="true" customHeight="true" outlineLevel="0" collapsed="false">
      <c r="C102" s="243"/>
      <c r="D102" s="268" t="s">
        <v>286</v>
      </c>
      <c r="E102" s="273" t="n">
        <f aca="false">AVSS+5.5</f>
        <v>5.5</v>
      </c>
      <c r="F102" s="21" t="s">
        <v>287</v>
      </c>
    </row>
    <row r="103" customFormat="false" ht="15" hidden="true" customHeight="true" outlineLevel="0" collapsed="false">
      <c r="C103" s="243"/>
      <c r="D103" s="268" t="s">
        <v>288</v>
      </c>
      <c r="E103" s="273" t="n">
        <f aca="false">AVSS+2.3</f>
        <v>2.3</v>
      </c>
    </row>
    <row r="104" customFormat="false" ht="15" hidden="true" customHeight="true" outlineLevel="0" collapsed="false">
      <c r="C104" s="243"/>
      <c r="D104" s="268" t="s">
        <v>289</v>
      </c>
      <c r="E104" s="273" t="n">
        <v>0</v>
      </c>
      <c r="F104" s="21" t="s">
        <v>290</v>
      </c>
    </row>
    <row r="105" customFormat="false" ht="15" hidden="true" customHeight="true" outlineLevel="0" collapsed="false">
      <c r="C105" s="243"/>
      <c r="D105" s="268" t="s">
        <v>291</v>
      </c>
      <c r="E105" s="273" t="n">
        <v>-2.75</v>
      </c>
    </row>
    <row r="106" customFormat="false" ht="15" hidden="true" customHeight="true" outlineLevel="0" collapsed="false">
      <c r="C106" s="175"/>
      <c r="D106" s="175"/>
      <c r="E106" s="175"/>
    </row>
    <row r="107" customFormat="false" ht="15" hidden="true" customHeight="true" outlineLevel="0" collapsed="false">
      <c r="C107" s="272" t="s">
        <v>292</v>
      </c>
      <c r="D107" s="272"/>
      <c r="E107" s="272"/>
    </row>
    <row r="108" customFormat="false" ht="15" hidden="true" customHeight="true" outlineLevel="0" collapsed="false">
      <c r="C108" s="243"/>
      <c r="D108" s="268" t="s">
        <v>293</v>
      </c>
      <c r="E108" s="273" t="n">
        <f aca="false">MIN(AVDD+0.1,VREFN+AVDD)</f>
        <v>3.4</v>
      </c>
      <c r="F108" s="21" t="s">
        <v>294</v>
      </c>
    </row>
    <row r="109" customFormat="false" ht="15" hidden="true" customHeight="true" outlineLevel="0" collapsed="false">
      <c r="C109" s="243"/>
      <c r="D109" s="268" t="s">
        <v>295</v>
      </c>
      <c r="E109" s="273" t="n">
        <f aca="false">VREFN+0.75</f>
        <v>1.8765</v>
      </c>
    </row>
    <row r="110" customFormat="false" ht="15" hidden="true" customHeight="true" outlineLevel="0" collapsed="false">
      <c r="C110" s="243"/>
      <c r="D110" s="268" t="s">
        <v>296</v>
      </c>
      <c r="E110" s="273" t="n">
        <f aca="false">VREFP-0.75</f>
        <v>1.3065</v>
      </c>
    </row>
    <row r="111" customFormat="false" ht="15" hidden="true" customHeight="true" outlineLevel="0" collapsed="false">
      <c r="C111" s="243"/>
      <c r="D111" s="268" t="s">
        <v>297</v>
      </c>
      <c r="E111" s="273" t="n">
        <f aca="false">AVSS-0.1</f>
        <v>-0.1</v>
      </c>
    </row>
    <row r="112" customFormat="false" ht="15" hidden="true" customHeight="true" outlineLevel="0" collapsed="false">
      <c r="C112" s="177"/>
      <c r="D112" s="177"/>
      <c r="E112" s="177"/>
    </row>
    <row r="113" customFormat="false" ht="15" hidden="true" customHeight="true" outlineLevel="0" collapsed="false">
      <c r="C113" s="266" t="s">
        <v>298</v>
      </c>
      <c r="D113" s="266"/>
      <c r="E113" s="266"/>
    </row>
    <row r="114" customFormat="false" ht="15" hidden="true" customHeight="true" outlineLevel="0" collapsed="false">
      <c r="C114" s="249" t="s">
        <v>206</v>
      </c>
      <c r="D114" s="249"/>
      <c r="E114" s="262" t="n">
        <f aca="false">OR(VINP&gt;$E$82,VINP&lt;$E$83)</f>
        <v>0</v>
      </c>
    </row>
    <row r="115" customFormat="false" ht="15" hidden="true" customHeight="true" outlineLevel="0" collapsed="false">
      <c r="C115" s="249" t="s">
        <v>207</v>
      </c>
      <c r="D115" s="249"/>
      <c r="E115" s="262" t="n">
        <f aca="false">OR(VINN&gt;$E$84,VINN&lt;$E$85)</f>
        <v>0</v>
      </c>
    </row>
    <row r="116" customFormat="false" ht="15" hidden="true" customHeight="true" outlineLevel="0" collapsed="false">
      <c r="C116" s="249" t="s">
        <v>299</v>
      </c>
      <c r="D116" s="249"/>
      <c r="E116" s="262" t="n">
        <f aca="false">OR(VIN_DIFF&gt;$E$94,VIN_DIFF&lt;$E$95)</f>
        <v>0</v>
      </c>
    </row>
    <row r="117" customFormat="false" ht="15" hidden="true" customHeight="true" outlineLevel="0" collapsed="false">
      <c r="C117" s="249" t="s">
        <v>300</v>
      </c>
      <c r="D117" s="249"/>
      <c r="E117" s="262" t="n">
        <f aca="false">OR(VCM&gt;$E$98,VCM&lt;$E$99)</f>
        <v>0</v>
      </c>
    </row>
    <row r="118" customFormat="false" ht="15" hidden="true" customHeight="true" outlineLevel="0" collapsed="false">
      <c r="C118" s="249" t="s">
        <v>301</v>
      </c>
      <c r="D118" s="249"/>
      <c r="E118" s="262" t="n">
        <f aca="false">OR(AVDD&gt;$E$102,AVDD&lt;$E$103)</f>
        <v>0</v>
      </c>
    </row>
    <row r="119" customFormat="false" ht="15" hidden="true" customHeight="true" outlineLevel="0" collapsed="false">
      <c r="C119" s="249" t="s">
        <v>302</v>
      </c>
      <c r="D119" s="249"/>
      <c r="E119" s="262" t="n">
        <f aca="false">OR(AVSS&gt;$E$104,AVSS&lt;$E$105)</f>
        <v>0</v>
      </c>
    </row>
    <row r="120" customFormat="false" ht="15" hidden="true" customHeight="true" outlineLevel="0" collapsed="false">
      <c r="C120" s="249" t="s">
        <v>303</v>
      </c>
      <c r="D120" s="249"/>
      <c r="E120" s="262" t="n">
        <f aca="false">OR($E$118,$E$119)</f>
        <v>0</v>
      </c>
    </row>
    <row r="121" customFormat="false" ht="15" hidden="true" customHeight="true" outlineLevel="0" collapsed="false">
      <c r="C121" s="249" t="s">
        <v>304</v>
      </c>
      <c r="D121" s="249"/>
      <c r="E121" s="262" t="n">
        <f aca="false">OR(VREFP&gt;$E$108,VREFP&lt;$E$109)</f>
        <v>0</v>
      </c>
    </row>
    <row r="122" customFormat="false" ht="15" hidden="true" customHeight="true" outlineLevel="0" collapsed="false">
      <c r="C122" s="249" t="s">
        <v>305</v>
      </c>
      <c r="D122" s="249"/>
      <c r="E122" s="262" t="n">
        <f aca="false">OR(VREFN&gt;$E$110,VREFN&lt;$E$111)</f>
        <v>0</v>
      </c>
    </row>
    <row r="123" customFormat="false" ht="15" hidden="true" customHeight="true" outlineLevel="0" collapsed="false">
      <c r="C123" s="249" t="s">
        <v>306</v>
      </c>
      <c r="D123" s="249"/>
      <c r="E123" s="262" t="n">
        <f aca="false">OR($E$121,$E$122)</f>
        <v>0</v>
      </c>
    </row>
    <row r="124" customFormat="false" ht="15" hidden="true" customHeight="true" outlineLevel="0" collapsed="false">
      <c r="C124" s="249" t="s">
        <v>307</v>
      </c>
      <c r="D124" s="249"/>
      <c r="E124" s="262" t="n">
        <f aca="false">VOUTP_CLAMP&lt;&gt;VOUTP</f>
        <v>0</v>
      </c>
    </row>
    <row r="125" customFormat="false" ht="15" hidden="true" customHeight="true" outlineLevel="0" collapsed="false">
      <c r="C125" s="249" t="s">
        <v>308</v>
      </c>
      <c r="D125" s="249"/>
      <c r="E125" s="262" t="n">
        <f aca="false">VOUTN_CLAMP&lt;&gt;VOUTN</f>
        <v>0</v>
      </c>
    </row>
    <row r="126" customFormat="false" ht="15" hidden="true" customHeight="true" outlineLevel="0" collapsed="false">
      <c r="C126" s="249" t="s">
        <v>309</v>
      </c>
      <c r="D126" s="249"/>
      <c r="E126" s="262" t="n">
        <f aca="false">ABS(VOUT_DIFF_CLAMPED)&gt;(POS_FULL_SCALE)</f>
        <v>0</v>
      </c>
    </row>
    <row r="127" customFormat="false" ht="15" hidden="true" customHeight="true" outlineLevel="0" collapsed="false"/>
  </sheetData>
  <sheetProtection sheet="true" objects="true" scenarios="true" selectLockedCells="true"/>
  <mergeCells count="73">
    <mergeCell ref="S5:T5"/>
    <mergeCell ref="C6:E6"/>
    <mergeCell ref="C7:E7"/>
    <mergeCell ref="L8:M8"/>
    <mergeCell ref="C9:E9"/>
    <mergeCell ref="C12:E12"/>
    <mergeCell ref="C16:E16"/>
    <mergeCell ref="C17:E17"/>
    <mergeCell ref="D18:E18"/>
    <mergeCell ref="C22:E22"/>
    <mergeCell ref="C23:I23"/>
    <mergeCell ref="L23:M23"/>
    <mergeCell ref="P23:Q23"/>
    <mergeCell ref="D24:I24"/>
    <mergeCell ref="K24:K25"/>
    <mergeCell ref="N24:N25"/>
    <mergeCell ref="O24:O25"/>
    <mergeCell ref="R24:R25"/>
    <mergeCell ref="D25:I25"/>
    <mergeCell ref="D26:I26"/>
    <mergeCell ref="D27:I27"/>
    <mergeCell ref="D28:I28"/>
    <mergeCell ref="B34:P34"/>
    <mergeCell ref="N36:P36"/>
    <mergeCell ref="C41:E41"/>
    <mergeCell ref="C42:D42"/>
    <mergeCell ref="F42:H48"/>
    <mergeCell ref="C43:D43"/>
    <mergeCell ref="C44:D44"/>
    <mergeCell ref="C45:D45"/>
    <mergeCell ref="C46:D46"/>
    <mergeCell ref="C47:D47"/>
    <mergeCell ref="C48:D48"/>
    <mergeCell ref="C50:E50"/>
    <mergeCell ref="C62:E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1:E81"/>
    <mergeCell ref="C93:E93"/>
    <mergeCell ref="C97:E97"/>
    <mergeCell ref="C98:D98"/>
    <mergeCell ref="C99:D99"/>
    <mergeCell ref="C101:E101"/>
    <mergeCell ref="C107:E107"/>
    <mergeCell ref="C113:E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s>
  <conditionalFormatting sqref="M27 Q26">
    <cfRule type="expression" priority="2" aboveAverage="0" equalAverage="0" bottom="0" percent="0" rank="0" text="" dxfId="19">
      <formula>$E$126</formula>
    </cfRule>
  </conditionalFormatting>
  <conditionalFormatting sqref="D27">
    <cfRule type="expression" priority="3" aboveAverage="0" equalAverage="0" bottom="0" percent="0" rank="0" text="" dxfId="20">
      <formula>$E$114</formula>
    </cfRule>
  </conditionalFormatting>
  <conditionalFormatting sqref="D28">
    <cfRule type="expression" priority="4" aboveAverage="0" equalAverage="0" bottom="0" percent="0" rank="0" text="" dxfId="21">
      <formula>$E$115</formula>
    </cfRule>
  </conditionalFormatting>
  <conditionalFormatting sqref="D26:I26">
    <cfRule type="expression" priority="5" aboveAverage="0" equalAverage="0" bottom="0" percent="0" rank="0" text="" dxfId="22">
      <formula>$E$116</formula>
    </cfRule>
  </conditionalFormatting>
  <conditionalFormatting sqref="M26 C26">
    <cfRule type="expression" priority="6" aboveAverage="0" equalAverage="0" bottom="0" percent="0" rank="0" text="" dxfId="23">
      <formula>$E$116</formula>
    </cfRule>
  </conditionalFormatting>
  <conditionalFormatting sqref="D11">
    <cfRule type="expression" priority="7" aboveAverage="0" equalAverage="0" bottom="0" percent="0" rank="0" text="" dxfId="24">
      <formula>$E$119</formula>
    </cfRule>
  </conditionalFormatting>
  <conditionalFormatting sqref="D24:I24">
    <cfRule type="expression" priority="8" aboveAverage="0" equalAverage="0" bottom="0" percent="0" rank="0" text="" dxfId="25">
      <formula>$E$120</formula>
    </cfRule>
  </conditionalFormatting>
  <conditionalFormatting sqref="C24">
    <cfRule type="expression" priority="9" aboveAverage="0" equalAverage="0" bottom="0" percent="0" rank="0" text="" dxfId="26">
      <formula>$E$120</formula>
    </cfRule>
  </conditionalFormatting>
  <conditionalFormatting sqref="D25:I25">
    <cfRule type="expression" priority="10" aboveAverage="0" equalAverage="0" bottom="0" percent="0" rank="0" text="" dxfId="27">
      <formula>$E$123</formula>
    </cfRule>
  </conditionalFormatting>
  <conditionalFormatting sqref="C25">
    <cfRule type="expression" priority="11" aboveAverage="0" equalAverage="0" bottom="0" percent="0" rank="0" text="" dxfId="28">
      <formula>$E$123</formula>
    </cfRule>
  </conditionalFormatting>
  <conditionalFormatting sqref="D10">
    <cfRule type="expression" priority="12" aboveAverage="0" equalAverage="0" bottom="0" percent="0" rank="0" text="" dxfId="29">
      <formula>$E$118</formula>
    </cfRule>
  </conditionalFormatting>
  <conditionalFormatting sqref="Q25">
    <cfRule type="expression" priority="13" aboveAverage="0" equalAverage="0" bottom="0" percent="0" rank="0" text="" dxfId="30">
      <formula>$E$125</formula>
    </cfRule>
  </conditionalFormatting>
  <conditionalFormatting sqref="Q24">
    <cfRule type="expression" priority="14" aboveAverage="0" equalAverage="0" bottom="0" percent="0" rank="0" text="" dxfId="31">
      <formula>$E$124</formula>
    </cfRule>
  </conditionalFormatting>
  <conditionalFormatting sqref="M25 C28">
    <cfRule type="expression" priority="15" aboveAverage="0" equalAverage="0" bottom="0" percent="0" rank="0" text="" dxfId="32">
      <formula>$E$115</formula>
    </cfRule>
  </conditionalFormatting>
  <conditionalFormatting sqref="M24 C27">
    <cfRule type="expression" priority="16" aboveAverage="0" equalAverage="0" bottom="0" percent="0" rank="0" text="" dxfId="33">
      <formula>$E$114</formula>
    </cfRule>
  </conditionalFormatting>
  <conditionalFormatting sqref="D13">
    <cfRule type="expression" priority="17" aboveAverage="0" equalAverage="0" bottom="0" percent="0" rank="0" text="" dxfId="34">
      <formula>$E$121</formula>
    </cfRule>
  </conditionalFormatting>
  <conditionalFormatting sqref="D14">
    <cfRule type="expression" priority="18" aboveAverage="0" equalAverage="0" bottom="0" percent="0" rank="0" text="" dxfId="35">
      <formula>$E$122</formula>
    </cfRule>
  </conditionalFormatting>
  <conditionalFormatting sqref="D20">
    <cfRule type="expression" priority="19" aboveAverage="0" equalAverage="0" bottom="0" percent="0" rank="0" text="" dxfId="36">
      <formula>IF(INPUT_MODE=$C$38,$E$115,$E$117)</formula>
    </cfRule>
  </conditionalFormatting>
  <conditionalFormatting sqref="D19">
    <cfRule type="expression" priority="20" aboveAverage="0" equalAverage="0" bottom="0" percent="0" rank="0" text="" dxfId="37">
      <formula>IF(INPUT_MODE=$C$38,$E$114,$E$116)</formula>
    </cfRule>
  </conditionalFormatting>
  <dataValidations count="11">
    <dataValidation allowBlank="true" errorStyle="stop" operator="between" showDropDown="false" showErrorMessage="false" showInputMessage="true" sqref="D8" type="list">
      <formula1>$C$52:$C$60</formula1>
      <formula2>0</formula2>
    </dataValidation>
    <dataValidation allowBlank="true" errorStyle="stop" operator="between" showDropDown="false" showErrorMessage="true" showInputMessage="true" sqref="D18:E18" type="list">
      <formula1>$C$38:$C$39</formula1>
      <formula2>0</formula2>
    </dataValidation>
    <dataValidation allowBlank="true" errorStyle="stop" operator="between" prompt="(Read &amp; Write)" promptTitle="OFFSET CALIBRATION REGISTER" showDropDown="false" showErrorMessage="true" showInputMessage="true" sqref="G8" type="none">
      <formula1>0</formula1>
      <formula2>0</formula2>
    </dataValidation>
    <dataValidation allowBlank="true" error="Invalid value for AVDD." errorStyle="stop" errorTitle="Value Out-of-Range" operator="between" showDropDown="false" showErrorMessage="false" showInputMessage="true" sqref="D10" type="decimal">
      <formula1>E103</formula1>
      <formula2>E102</formula2>
    </dataValidation>
    <dataValidation allowBlank="true" errorStyle="stop" operator="between" showDropDown="false" showErrorMessage="false" showInputMessage="true" sqref="D14" type="decimal">
      <formula1>E111</formula1>
      <formula2>E110</formula2>
    </dataValidation>
    <dataValidation allowBlank="true" errorStyle="stop" operator="between" showDropDown="false" showErrorMessage="false" showInputMessage="true" sqref="D13" type="decimal">
      <formula1>E109</formula1>
      <formula2>E108</formula2>
    </dataValidation>
    <dataValidation allowBlank="true" errorStyle="stop" operator="between" prompt="Must satisfy both absolute and differential input requirements." promptTitle="Negative Input Voltage" showDropDown="false" showErrorMessage="true" showInputMessage="true" sqref="M25" type="none">
      <formula1>0</formula1>
      <formula2>0</formula2>
    </dataValidation>
    <dataValidation allowBlank="true" errorStyle="stop" operator="between" prompt="Must satisfy both absolute and differential input requirements." promptTitle="Positive Input Voltage" showDropDown="false" showErrorMessage="true" showInputMessage="true" sqref="M24" type="none">
      <formula1>0</formula1>
      <formula2>0</formula2>
    </dataValidation>
    <dataValidation allowBlank="true" error="Invalid value for AVSS" errorStyle="stop" errorTitle="Value Out-of-Range" operator="between" showDropDown="false" showErrorMessage="false" showInputMessage="true" sqref="D11" type="decimal">
      <formula1>E105</formula1>
      <formula2>E104</formula2>
    </dataValidation>
    <dataValidation allowBlank="true" errorStyle="stop" operator="between" prompt="Must satisfy both absolute and differential input requirements." promptTitle="Positive Input Voltage" showDropDown="false" showErrorMessage="false" showInputMessage="false" sqref="D19" type="none">
      <formula1>0</formula1>
      <formula2>0</formula2>
    </dataValidation>
    <dataValidation allowBlank="true" errorStyle="stop" operator="between" prompt="Must satisfy both absolute and differential input requirements." promptTitle="Negative Input Voltage" showDropDown="false" showErrorMessage="false" showInputMessage="false" sqref="D20" type="none">
      <formula1>0</formula1>
      <formula2>0</formula2>
    </dataValidation>
  </dataValidations>
  <hyperlinks>
    <hyperlink ref="S5"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7"/>
  <sheetViews>
    <sheetView showFormulas="false" showGridLines="false" showRowColHeaders="false" showZeros="true" rightToLeft="false" tabSelected="false" showOutlineSymbols="true" defaultGridColor="true" view="normal" topLeftCell="A1" colorId="64" zoomScale="75" zoomScaleNormal="75" zoomScalePageLayoutView="100" workbookViewId="0">
      <selection pane="topLeft" activeCell="C9" activeCellId="0" sqref="C9"/>
    </sheetView>
  </sheetViews>
  <sheetFormatPr defaultColWidth="9.1484375" defaultRowHeight="15" customHeight="true" zeroHeight="false" outlineLevelRow="0" outlineLevelCol="0"/>
  <cols>
    <col collapsed="false" customWidth="true" hidden="false" outlineLevel="0" max="1" min="1" style="175" width="9"/>
    <col collapsed="false" customWidth="true" hidden="false" outlineLevel="0" max="2" min="2" style="175" width="21.57"/>
    <col collapsed="false" customWidth="true" hidden="false" outlineLevel="0" max="3" min="3" style="175" width="19.86"/>
    <col collapsed="false" customWidth="true" hidden="false" outlineLevel="0" max="4" min="4" style="175" width="13.15"/>
    <col collapsed="false" customWidth="true" hidden="false" outlineLevel="0" max="5" min="5" style="175" width="13.86"/>
    <col collapsed="false" customWidth="true" hidden="false" outlineLevel="0" max="6" min="6" style="175" width="25.71"/>
    <col collapsed="false" customWidth="true" hidden="false" outlineLevel="0" max="7" min="7" style="175" width="22.57"/>
    <col collapsed="false" customWidth="true" hidden="false" outlineLevel="0" max="8" min="8" style="175" width="11.29"/>
    <col collapsed="false" customWidth="true" hidden="false" outlineLevel="0" max="9" min="9" style="175" width="17.29"/>
    <col collapsed="false" customWidth="true" hidden="false" outlineLevel="0" max="10" min="10" style="175" width="16.29"/>
    <col collapsed="false" customWidth="true" hidden="false" outlineLevel="0" max="11" min="11" style="175" width="9.86"/>
    <col collapsed="false" customWidth="true" hidden="false" outlineLevel="0" max="12" min="12" style="175" width="9.57"/>
    <col collapsed="false" customWidth="true" hidden="false" outlineLevel="0" max="13" min="13" style="175" width="13.71"/>
    <col collapsed="false" customWidth="false" hidden="false" outlineLevel="0" max="16384" min="14" style="175" width="9.14"/>
  </cols>
  <sheetData>
    <row r="1" customFormat="false" ht="15" hidden="false" customHeight="true" outlineLevel="0" collapsed="false">
      <c r="A1" s="274"/>
      <c r="B1" s="274"/>
      <c r="C1" s="274"/>
      <c r="D1" s="274"/>
      <c r="E1" s="274"/>
      <c r="F1" s="274"/>
      <c r="G1" s="274"/>
      <c r="H1" s="274"/>
      <c r="I1" s="274"/>
      <c r="J1" s="274"/>
      <c r="K1" s="274"/>
      <c r="L1" s="274"/>
      <c r="M1" s="274"/>
    </row>
    <row r="2" customFormat="false" ht="15" hidden="false" customHeight="true" outlineLevel="0" collapsed="false">
      <c r="A2" s="274"/>
      <c r="B2" s="274"/>
      <c r="C2" s="274"/>
      <c r="D2" s="274"/>
      <c r="E2" s="274"/>
      <c r="F2" s="274"/>
      <c r="G2" s="274"/>
      <c r="H2" s="274"/>
      <c r="I2" s="274"/>
      <c r="J2" s="274"/>
      <c r="K2" s="274"/>
      <c r="L2" s="274"/>
      <c r="M2" s="274"/>
    </row>
    <row r="3" customFormat="false" ht="15" hidden="false" customHeight="true" outlineLevel="0" collapsed="false">
      <c r="A3" s="274"/>
      <c r="B3" s="274"/>
      <c r="C3" s="274"/>
      <c r="D3" s="274"/>
      <c r="E3" s="274"/>
      <c r="F3" s="274"/>
      <c r="G3" s="274"/>
      <c r="H3" s="274"/>
      <c r="I3" s="274"/>
      <c r="J3" s="274"/>
      <c r="K3" s="274"/>
      <c r="L3" s="274"/>
      <c r="M3" s="274"/>
    </row>
    <row r="4" customFormat="false" ht="15" hidden="false" customHeight="true" outlineLevel="0" collapsed="false">
      <c r="A4" s="176"/>
      <c r="B4" s="176"/>
      <c r="C4" s="176"/>
      <c r="D4" s="176"/>
      <c r="E4" s="176"/>
      <c r="F4" s="176"/>
      <c r="G4" s="176"/>
      <c r="H4" s="176"/>
      <c r="I4" s="176"/>
      <c r="J4" s="176"/>
      <c r="K4" s="176"/>
      <c r="L4" s="176"/>
      <c r="M4" s="176"/>
    </row>
    <row r="5" customFormat="false" ht="15" hidden="false" customHeight="true" outlineLevel="0" collapsed="false">
      <c r="A5" s="41"/>
      <c r="B5" s="25"/>
      <c r="C5" s="25"/>
      <c r="D5" s="25"/>
      <c r="E5" s="25"/>
      <c r="F5" s="25"/>
      <c r="G5" s="25"/>
      <c r="H5" s="25"/>
      <c r="I5" s="25"/>
      <c r="J5" s="25"/>
      <c r="K5" s="25"/>
      <c r="L5" s="275" t="s">
        <v>16</v>
      </c>
      <c r="M5" s="275"/>
      <c r="N5" s="98"/>
      <c r="O5" s="98"/>
    </row>
    <row r="6" customFormat="false" ht="15" hidden="false" customHeight="true" outlineLevel="0" collapsed="false">
      <c r="A6" s="41"/>
      <c r="B6" s="98"/>
      <c r="C6" s="98"/>
      <c r="D6" s="114"/>
      <c r="E6" s="41"/>
      <c r="F6" s="41"/>
      <c r="G6" s="41"/>
      <c r="H6" s="41"/>
      <c r="I6" s="114"/>
      <c r="J6" s="114"/>
      <c r="K6" s="114"/>
      <c r="L6" s="114"/>
      <c r="M6" s="114"/>
      <c r="N6" s="98"/>
      <c r="O6" s="98"/>
    </row>
    <row r="7" customFormat="false" ht="15" hidden="false" customHeight="true" outlineLevel="0" collapsed="false">
      <c r="A7" s="41"/>
      <c r="B7" s="98"/>
      <c r="C7" s="98"/>
      <c r="D7" s="98"/>
      <c r="E7" s="41"/>
      <c r="F7" s="102"/>
      <c r="G7" s="102"/>
      <c r="H7" s="102"/>
      <c r="I7" s="114"/>
      <c r="J7" s="114"/>
      <c r="K7" s="41"/>
      <c r="L7" s="114"/>
      <c r="M7" s="28" t="s">
        <v>17</v>
      </c>
      <c r="N7" s="98"/>
      <c r="O7" s="98"/>
    </row>
    <row r="8" customFormat="false" ht="15" hidden="false" customHeight="true" outlineLevel="0" collapsed="false">
      <c r="A8" s="41"/>
      <c r="B8" s="276" t="s">
        <v>310</v>
      </c>
      <c r="C8" s="276"/>
      <c r="D8" s="276"/>
      <c r="E8" s="62"/>
      <c r="F8" s="277" t="s">
        <v>311</v>
      </c>
      <c r="G8" s="277"/>
      <c r="H8" s="277"/>
      <c r="I8" s="114"/>
      <c r="J8" s="114"/>
      <c r="K8" s="41"/>
      <c r="L8" s="29" t="s">
        <v>18</v>
      </c>
      <c r="M8" s="30" t="s">
        <v>19</v>
      </c>
      <c r="N8" s="98"/>
      <c r="O8" s="98"/>
    </row>
    <row r="9" customFormat="false" ht="15" hidden="false" customHeight="true" outlineLevel="0" collapsed="false">
      <c r="A9" s="41"/>
      <c r="B9" s="278" t="s">
        <v>166</v>
      </c>
      <c r="C9" s="279" t="n">
        <v>1</v>
      </c>
      <c r="D9" s="280" t="s">
        <v>312</v>
      </c>
      <c r="E9" s="281" t="s">
        <v>313</v>
      </c>
      <c r="F9" s="282" t="s">
        <v>314</v>
      </c>
      <c r="G9" s="283" t="n">
        <f aca="false">(C50/2)</f>
        <v>2.5</v>
      </c>
      <c r="H9" s="284" t="s">
        <v>315</v>
      </c>
      <c r="I9" s="114"/>
      <c r="J9" s="114"/>
      <c r="K9" s="41"/>
      <c r="L9" s="29" t="s">
        <v>20</v>
      </c>
      <c r="M9" s="31" t="s">
        <v>19</v>
      </c>
      <c r="N9" s="98"/>
      <c r="O9" s="98"/>
    </row>
    <row r="10" customFormat="false" ht="15" hidden="false" customHeight="true" outlineLevel="0" collapsed="false">
      <c r="A10" s="41"/>
      <c r="B10" s="285" t="s">
        <v>316</v>
      </c>
      <c r="C10" s="286" t="n">
        <v>2.5</v>
      </c>
      <c r="D10" s="287" t="s">
        <v>315</v>
      </c>
      <c r="E10" s="281"/>
      <c r="F10" s="288" t="s">
        <v>317</v>
      </c>
      <c r="G10" s="289" t="n">
        <f aca="false">LSB_Size_V*1000000000</f>
        <v>298.023223876953</v>
      </c>
      <c r="H10" s="287" t="s">
        <v>318</v>
      </c>
      <c r="I10" s="102"/>
      <c r="J10" s="102"/>
      <c r="K10" s="102"/>
      <c r="L10" s="32" t="s">
        <v>173</v>
      </c>
      <c r="M10" s="199" t="s">
        <v>19</v>
      </c>
      <c r="N10" s="98"/>
      <c r="O10" s="98"/>
    </row>
    <row r="11" customFormat="false" ht="15" hidden="false" customHeight="true" outlineLevel="0" collapsed="false">
      <c r="A11" s="41"/>
      <c r="B11" s="98"/>
      <c r="C11" s="98"/>
      <c r="D11" s="98"/>
      <c r="E11" s="290"/>
      <c r="F11" s="98"/>
      <c r="G11" s="98"/>
      <c r="H11" s="98"/>
      <c r="I11" s="102"/>
      <c r="J11" s="102"/>
      <c r="K11" s="102"/>
      <c r="L11" s="114"/>
      <c r="M11" s="114"/>
      <c r="N11" s="98"/>
      <c r="O11" s="98"/>
    </row>
    <row r="12" customFormat="false" ht="15" hidden="false" customHeight="true" outlineLevel="0" collapsed="false">
      <c r="A12" s="41"/>
      <c r="B12" s="98"/>
      <c r="C12" s="98"/>
      <c r="D12" s="98"/>
      <c r="E12" s="290"/>
      <c r="F12" s="98"/>
      <c r="G12" s="98"/>
      <c r="H12" s="98"/>
      <c r="I12" s="102"/>
      <c r="J12" s="102"/>
      <c r="K12" s="102"/>
      <c r="L12" s="114"/>
      <c r="M12" s="114"/>
      <c r="N12" s="98"/>
      <c r="O12" s="98"/>
    </row>
    <row r="13" customFormat="false" ht="15" hidden="false" customHeight="true" outlineLevel="0" collapsed="false">
      <c r="A13" s="41"/>
      <c r="B13" s="276" t="s">
        <v>319</v>
      </c>
      <c r="C13" s="276"/>
      <c r="D13" s="276"/>
      <c r="E13" s="291"/>
      <c r="F13" s="277" t="s">
        <v>320</v>
      </c>
      <c r="G13" s="277"/>
      <c r="H13" s="277"/>
      <c r="I13" s="41"/>
      <c r="J13" s="41"/>
      <c r="K13" s="41"/>
      <c r="L13" s="102"/>
      <c r="M13" s="114"/>
      <c r="N13" s="98"/>
      <c r="O13" s="98"/>
    </row>
    <row r="14" customFormat="false" ht="15" hidden="false" customHeight="true" outlineLevel="0" collapsed="false">
      <c r="A14" s="41"/>
      <c r="B14" s="292" t="s">
        <v>321</v>
      </c>
      <c r="C14" s="292"/>
      <c r="D14" s="293" t="s">
        <v>322</v>
      </c>
      <c r="E14" s="294" t="s">
        <v>313</v>
      </c>
      <c r="F14" s="295" t="n">
        <f aca="false">G38</f>
        <v>0.312499701976776</v>
      </c>
      <c r="G14" s="295"/>
      <c r="H14" s="296" t="s">
        <v>315</v>
      </c>
      <c r="I14" s="41"/>
      <c r="J14" s="41"/>
      <c r="K14" s="41"/>
      <c r="L14" s="79"/>
      <c r="M14" s="114"/>
      <c r="N14" s="98"/>
      <c r="O14" s="98"/>
    </row>
    <row r="15" customFormat="false" ht="15" hidden="false" customHeight="true" outlineLevel="0" collapsed="false">
      <c r="A15" s="41"/>
      <c r="B15" s="297" t="str">
        <f aca="false">IF(D14="[Hex]",CONCATENATE("Input a hex value between ",Min_Code_Hex," and ",Max_Code_Hex),CONCATENATE("Input a decimal value between ",Min_Code_Decimal," and ",Max_Code_Decimal))</f>
        <v>Input a hex value between 800000 and 7FFFFF</v>
      </c>
      <c r="C15" s="297"/>
      <c r="D15" s="297"/>
      <c r="E15" s="294"/>
      <c r="F15" s="295"/>
      <c r="G15" s="295"/>
      <c r="H15" s="296"/>
      <c r="I15" s="41"/>
      <c r="J15" s="41"/>
      <c r="K15" s="41"/>
      <c r="L15" s="79"/>
      <c r="M15" s="114"/>
      <c r="N15" s="98"/>
      <c r="O15" s="98"/>
    </row>
    <row r="16" customFormat="false" ht="15" hidden="false" customHeight="true" outlineLevel="0" collapsed="false">
      <c r="A16" s="41"/>
      <c r="B16" s="41"/>
      <c r="C16" s="41"/>
      <c r="D16" s="41"/>
      <c r="E16" s="291"/>
      <c r="F16" s="41"/>
      <c r="G16" s="298"/>
      <c r="H16" s="41"/>
      <c r="I16" s="41"/>
      <c r="J16" s="41"/>
      <c r="K16" s="41"/>
      <c r="L16" s="79"/>
      <c r="M16" s="114"/>
      <c r="N16" s="98"/>
      <c r="O16" s="98"/>
    </row>
    <row r="17" customFormat="false" ht="15" hidden="false" customHeight="true" outlineLevel="0" collapsed="false">
      <c r="A17" s="41"/>
      <c r="B17" s="276" t="s">
        <v>323</v>
      </c>
      <c r="C17" s="276"/>
      <c r="D17" s="276"/>
      <c r="E17" s="291"/>
      <c r="F17" s="277" t="s">
        <v>324</v>
      </c>
      <c r="G17" s="277"/>
      <c r="H17" s="277"/>
      <c r="I17" s="41"/>
      <c r="J17" s="41"/>
      <c r="K17" s="41"/>
      <c r="L17" s="41"/>
      <c r="M17" s="41"/>
      <c r="N17" s="98"/>
      <c r="O17" s="98"/>
    </row>
    <row r="18" customFormat="false" ht="15" hidden="false" customHeight="true" outlineLevel="0" collapsed="false">
      <c r="A18" s="41"/>
      <c r="B18" s="299" t="n">
        <v>0.073</v>
      </c>
      <c r="C18" s="299"/>
      <c r="D18" s="296" t="s">
        <v>315</v>
      </c>
      <c r="E18" s="281" t="s">
        <v>313</v>
      </c>
      <c r="F18" s="300" t="str">
        <f aca="false">G48</f>
        <v>03BCD3</v>
      </c>
      <c r="G18" s="300"/>
      <c r="H18" s="296" t="s">
        <v>322</v>
      </c>
      <c r="I18" s="41"/>
      <c r="J18" s="41"/>
      <c r="K18" s="41"/>
      <c r="L18" s="41"/>
      <c r="M18" s="41"/>
      <c r="N18" s="98"/>
      <c r="O18" s="98"/>
    </row>
    <row r="19" customFormat="false" ht="15" hidden="false" customHeight="true" outlineLevel="0" collapsed="false">
      <c r="A19" s="41"/>
      <c r="B19" s="299"/>
      <c r="C19" s="299"/>
      <c r="D19" s="296"/>
      <c r="E19" s="281"/>
      <c r="F19" s="300"/>
      <c r="G19" s="300"/>
      <c r="H19" s="296"/>
      <c r="I19" s="79"/>
      <c r="J19" s="79"/>
      <c r="K19" s="114"/>
      <c r="L19" s="41"/>
      <c r="M19" s="41"/>
      <c r="N19" s="98"/>
      <c r="O19" s="98"/>
    </row>
    <row r="20" customFormat="false" ht="15" hidden="false" customHeight="true" outlineLevel="0" collapsed="false">
      <c r="A20" s="41"/>
      <c r="B20" s="41"/>
      <c r="C20" s="98"/>
      <c r="D20" s="98"/>
      <c r="E20" s="28"/>
      <c r="F20" s="301" t="s">
        <v>325</v>
      </c>
      <c r="G20" s="301"/>
      <c r="H20" s="114"/>
      <c r="I20" s="79"/>
      <c r="J20" s="79"/>
      <c r="K20" s="41"/>
      <c r="L20" s="302"/>
      <c r="M20" s="79"/>
      <c r="N20" s="98"/>
      <c r="O20" s="98"/>
    </row>
    <row r="21" customFormat="false" ht="15" hidden="false" customHeight="true" outlineLevel="0" collapsed="false">
      <c r="A21" s="41"/>
      <c r="B21" s="303" t="s">
        <v>326</v>
      </c>
      <c r="C21" s="98"/>
      <c r="D21" s="98"/>
      <c r="E21" s="41"/>
      <c r="F21" s="298"/>
      <c r="G21" s="298"/>
      <c r="H21" s="298"/>
      <c r="I21" s="41"/>
      <c r="J21" s="41"/>
      <c r="K21" s="41"/>
      <c r="L21" s="114"/>
      <c r="M21" s="114"/>
      <c r="N21" s="98"/>
      <c r="O21" s="98"/>
    </row>
    <row r="22" customFormat="false" ht="15" hidden="false" customHeight="true" outlineLevel="0" collapsed="false">
      <c r="A22" s="41"/>
      <c r="B22" s="304" t="s">
        <v>327</v>
      </c>
      <c r="C22" s="98"/>
      <c r="D22" s="98"/>
      <c r="E22" s="41"/>
      <c r="F22" s="41"/>
      <c r="G22" s="41"/>
      <c r="H22" s="41"/>
      <c r="I22" s="114"/>
      <c r="J22" s="114"/>
      <c r="K22" s="305"/>
      <c r="L22" s="114"/>
      <c r="M22" s="114"/>
      <c r="N22" s="98"/>
      <c r="O22" s="98"/>
    </row>
    <row r="23" customFormat="false" ht="15" hidden="false" customHeight="true" outlineLevel="0" collapsed="false">
      <c r="A23" s="41"/>
      <c r="B23" s="304" t="s">
        <v>328</v>
      </c>
      <c r="C23" s="98"/>
      <c r="D23" s="98"/>
      <c r="E23" s="98"/>
      <c r="F23" s="41"/>
      <c r="G23" s="41"/>
      <c r="H23" s="41"/>
      <c r="I23" s="41"/>
      <c r="J23" s="41"/>
      <c r="K23" s="41"/>
      <c r="L23" s="41"/>
      <c r="M23" s="41"/>
      <c r="N23" s="98"/>
      <c r="O23" s="98"/>
    </row>
    <row r="24" customFormat="false" ht="15" hidden="false" customHeight="true" outlineLevel="0" collapsed="false">
      <c r="A24" s="98"/>
      <c r="B24" s="98"/>
      <c r="C24" s="98"/>
      <c r="D24" s="98"/>
      <c r="E24" s="98"/>
      <c r="F24" s="41"/>
      <c r="G24" s="41"/>
      <c r="H24" s="41"/>
      <c r="I24" s="41"/>
      <c r="J24" s="41"/>
      <c r="K24" s="41"/>
      <c r="L24" s="41"/>
      <c r="M24" s="41"/>
      <c r="N24" s="98"/>
      <c r="O24" s="98"/>
    </row>
    <row r="25" customFormat="false" ht="15" hidden="false" customHeight="true" outlineLevel="0" collapsed="false">
      <c r="A25" s="98"/>
      <c r="B25" s="98"/>
      <c r="C25" s="98"/>
      <c r="D25" s="98"/>
      <c r="E25" s="98"/>
      <c r="F25" s="41"/>
      <c r="G25" s="41"/>
      <c r="H25" s="41"/>
      <c r="I25" s="41"/>
      <c r="J25" s="41"/>
      <c r="K25" s="41"/>
      <c r="L25" s="41"/>
      <c r="M25" s="41"/>
      <c r="N25" s="98"/>
      <c r="O25" s="98"/>
    </row>
    <row r="26" customFormat="false" ht="15" hidden="false" customHeight="true" outlineLevel="0" collapsed="false">
      <c r="A26" s="98"/>
      <c r="B26" s="98"/>
      <c r="C26" s="98"/>
      <c r="D26" s="98"/>
      <c r="E26" s="98"/>
      <c r="F26" s="41"/>
      <c r="G26" s="41"/>
      <c r="H26" s="41"/>
      <c r="I26" s="41"/>
      <c r="J26" s="41"/>
      <c r="K26" s="41"/>
      <c r="L26" s="41"/>
      <c r="M26" s="41"/>
      <c r="N26" s="98"/>
      <c r="O26" s="98"/>
    </row>
    <row r="27" customFormat="false" ht="15" hidden="false" customHeight="true" outlineLevel="0" collapsed="false">
      <c r="A27" s="98"/>
      <c r="B27" s="98"/>
      <c r="C27" s="98"/>
      <c r="D27" s="98"/>
      <c r="E27" s="98"/>
      <c r="F27" s="41"/>
      <c r="G27" s="41"/>
      <c r="H27" s="41"/>
      <c r="I27" s="41"/>
      <c r="J27" s="41"/>
      <c r="K27" s="41"/>
      <c r="L27" s="41"/>
      <c r="M27" s="41"/>
      <c r="N27" s="98"/>
      <c r="O27" s="98"/>
    </row>
    <row r="28" customFormat="false" ht="15" hidden="true" customHeight="true" outlineLevel="0" collapsed="false">
      <c r="A28" s="98"/>
      <c r="B28" s="98"/>
      <c r="C28" s="98"/>
      <c r="D28" s="98"/>
      <c r="E28" s="98"/>
      <c r="F28" s="41"/>
      <c r="G28" s="41"/>
      <c r="H28" s="41"/>
      <c r="I28" s="41"/>
      <c r="J28" s="41"/>
      <c r="K28" s="41"/>
      <c r="L28" s="41"/>
      <c r="M28" s="41"/>
      <c r="N28" s="98"/>
      <c r="O28" s="98"/>
    </row>
    <row r="29" customFormat="false" ht="15" hidden="true" customHeight="true" outlineLevel="0" collapsed="false">
      <c r="A29" s="98"/>
      <c r="B29" s="98"/>
      <c r="C29" s="98"/>
      <c r="D29" s="98"/>
      <c r="E29" s="98"/>
      <c r="F29" s="41"/>
      <c r="G29" s="41"/>
      <c r="H29" s="41"/>
      <c r="I29" s="41"/>
      <c r="J29" s="41"/>
      <c r="K29" s="41"/>
      <c r="L29" s="41"/>
      <c r="M29" s="41"/>
      <c r="N29" s="98"/>
      <c r="O29" s="98"/>
    </row>
    <row r="30" customFormat="false" ht="15" hidden="true" customHeight="true" outlineLevel="0" collapsed="false">
      <c r="A30" s="41"/>
      <c r="B30" s="41"/>
      <c r="C30" s="41"/>
      <c r="D30" s="41"/>
      <c r="E30" s="41"/>
      <c r="F30" s="41"/>
      <c r="G30" s="41"/>
      <c r="H30" s="41"/>
      <c r="I30" s="41"/>
      <c r="J30" s="41"/>
      <c r="K30" s="41"/>
      <c r="L30" s="41"/>
      <c r="M30" s="41"/>
      <c r="N30" s="98"/>
      <c r="O30" s="98"/>
    </row>
    <row r="31" customFormat="false" ht="15" hidden="true" customHeight="true" outlineLevel="0" collapsed="false">
      <c r="A31" s="306" t="s">
        <v>329</v>
      </c>
      <c r="B31" s="306"/>
      <c r="C31" s="306"/>
      <c r="D31" s="306"/>
      <c r="E31" s="306"/>
      <c r="F31" s="306"/>
      <c r="G31" s="306"/>
      <c r="H31" s="306"/>
      <c r="I31" s="306"/>
      <c r="J31" s="306"/>
      <c r="K31" s="306"/>
      <c r="L31" s="306"/>
      <c r="M31" s="306"/>
      <c r="N31" s="98"/>
      <c r="O31" s="98"/>
    </row>
    <row r="32" customFormat="false" ht="15" hidden="true" customHeight="true" outlineLevel="0" collapsed="false">
      <c r="A32" s="177"/>
      <c r="B32" s="177"/>
      <c r="C32" s="177"/>
      <c r="D32" s="177"/>
      <c r="E32" s="177"/>
      <c r="F32" s="177"/>
      <c r="G32" s="177"/>
      <c r="H32" s="177"/>
      <c r="I32" s="177"/>
      <c r="J32" s="177"/>
      <c r="K32" s="177"/>
      <c r="L32" s="177"/>
      <c r="M32" s="177"/>
    </row>
    <row r="33" customFormat="false" ht="15" hidden="true" customHeight="true" outlineLevel="0" collapsed="false">
      <c r="A33" s="177"/>
      <c r="B33" s="307" t="s">
        <v>330</v>
      </c>
      <c r="C33" s="213" t="str">
        <f aca="false">B14</f>
        <v>FFFFF</v>
      </c>
      <c r="D33" s="177"/>
      <c r="E33" s="177"/>
      <c r="F33" s="308" t="s">
        <v>331</v>
      </c>
      <c r="G33" s="308"/>
      <c r="H33" s="177"/>
      <c r="I33" s="177"/>
      <c r="J33" s="177"/>
      <c r="K33" s="177"/>
      <c r="L33" s="177"/>
      <c r="M33" s="177"/>
    </row>
    <row r="34" customFormat="false" ht="15" hidden="true" customHeight="true" outlineLevel="0" collapsed="false">
      <c r="A34" s="177"/>
      <c r="B34" s="307" t="s">
        <v>332</v>
      </c>
      <c r="C34" s="213" t="str">
        <f aca="false">D14</f>
        <v>[Hex]</v>
      </c>
      <c r="D34" s="177"/>
      <c r="E34" s="177"/>
      <c r="F34" s="307" t="s">
        <v>333</v>
      </c>
      <c r="G34" s="309" t="b">
        <f aca="false">IF(Input_Type="[Decimal]",IF(Code&lt;0,TRUE(),FALSE()),IF(Input_Type="[Hex]",ISODD(HEX2DEC(Code)/2^(Num_Bits-1)),"Error"))</f>
        <v>0</v>
      </c>
      <c r="H34" s="177"/>
      <c r="I34" s="177"/>
      <c r="J34" s="177"/>
      <c r="K34" s="177"/>
      <c r="L34" s="177"/>
      <c r="M34" s="177"/>
    </row>
    <row r="35" customFormat="false" ht="15" hidden="true" customHeight="true" outlineLevel="0" collapsed="false">
      <c r="A35" s="177"/>
      <c r="B35" s="307" t="s">
        <v>334</v>
      </c>
      <c r="C35" s="213" t="n">
        <f aca="false">C10</f>
        <v>2.5</v>
      </c>
      <c r="D35" s="177"/>
      <c r="E35" s="177"/>
      <c r="F35" s="307" t="s">
        <v>335</v>
      </c>
      <c r="G35" s="213" t="n">
        <f aca="false">IF(Input_Type="[Decimal]",Code,IF(Input_Type="[Hex]",IF(G34,(HEX2DEC(Code)-2^Num_Bits),HEX2DEC(Code))))</f>
        <v>1048575</v>
      </c>
      <c r="H35" s="177"/>
      <c r="I35" s="177"/>
      <c r="J35" s="177"/>
      <c r="K35" s="177"/>
      <c r="L35" s="177"/>
      <c r="M35" s="310"/>
    </row>
    <row r="36" customFormat="false" ht="15" hidden="true" customHeight="true" outlineLevel="0" collapsed="false">
      <c r="A36" s="177"/>
      <c r="B36" s="307" t="s">
        <v>336</v>
      </c>
      <c r="C36" s="213" t="n">
        <f aca="false">C9</f>
        <v>1</v>
      </c>
      <c r="D36" s="177"/>
      <c r="E36" s="177"/>
      <c r="F36" s="307" t="s">
        <v>337</v>
      </c>
      <c r="G36" s="213" t="e">
        <f aca="false">IF(valid?,Decimal_Value*LSB_Size_V,"(Invalid Code)")</f>
        <v>#VALUE!</v>
      </c>
      <c r="H36" s="177"/>
      <c r="I36" s="177"/>
      <c r="J36" s="177"/>
      <c r="K36" s="177"/>
      <c r="L36" s="177"/>
      <c r="M36" s="310"/>
    </row>
    <row r="37" customFormat="false" ht="15" hidden="true" customHeight="true" outlineLevel="0" collapsed="false">
      <c r="A37" s="177"/>
      <c r="B37" s="177"/>
      <c r="C37" s="177"/>
      <c r="D37" s="177"/>
      <c r="E37" s="177"/>
      <c r="F37" s="307" t="s">
        <v>338</v>
      </c>
      <c r="G37" s="213" t="str">
        <f aca="false">H14</f>
        <v>[V]</v>
      </c>
      <c r="H37" s="177"/>
      <c r="I37" s="177"/>
      <c r="J37" s="177"/>
      <c r="K37" s="177"/>
      <c r="L37" s="177"/>
      <c r="M37" s="310"/>
    </row>
    <row r="38" customFormat="false" ht="15" hidden="true" customHeight="true" outlineLevel="0" collapsed="false">
      <c r="A38" s="177"/>
      <c r="B38" s="308" t="s">
        <v>339</v>
      </c>
      <c r="C38" s="308"/>
      <c r="D38" s="177"/>
      <c r="E38" s="177"/>
      <c r="F38" s="307" t="str">
        <f aca="false">CONCATENATE("Voltage in ",G37,":")</f>
        <v>Voltage in [V]:</v>
      </c>
      <c r="G38" s="213" t="e">
        <f aca="false">IF(valid?,G36/VLOOKUP(G37,F53:G56,2,FALSE()),"(Invalid Code)")</f>
        <v>#VALUE!</v>
      </c>
      <c r="H38" s="177"/>
      <c r="I38" s="177"/>
      <c r="J38" s="177"/>
      <c r="K38" s="177"/>
      <c r="L38" s="177"/>
      <c r="M38" s="310"/>
    </row>
    <row r="39" customFormat="false" ht="15" hidden="true" customHeight="true" outlineLevel="0" collapsed="false">
      <c r="A39" s="177"/>
      <c r="B39" s="307" t="s">
        <v>340</v>
      </c>
      <c r="C39" s="311" t="n">
        <v>24</v>
      </c>
      <c r="D39" s="177"/>
      <c r="E39" s="177"/>
      <c r="F39" s="177"/>
      <c r="G39" s="177"/>
      <c r="H39" s="177"/>
      <c r="K39" s="177"/>
      <c r="L39" s="177"/>
      <c r="M39" s="177"/>
    </row>
    <row r="40" customFormat="false" ht="15" hidden="true" customHeight="true" outlineLevel="0" collapsed="false">
      <c r="A40" s="177"/>
      <c r="B40" s="307" t="s">
        <v>341</v>
      </c>
      <c r="C40" s="213" t="n">
        <f aca="false">ROUNDUP(Num_Bits/4,0)</f>
        <v>6</v>
      </c>
      <c r="D40" s="177"/>
      <c r="E40" s="177"/>
      <c r="F40" s="308" t="s">
        <v>342</v>
      </c>
      <c r="G40" s="308"/>
      <c r="H40" s="177"/>
    </row>
    <row r="41" customFormat="false" ht="15" hidden="true" customHeight="true" outlineLevel="0" collapsed="false">
      <c r="A41" s="177"/>
      <c r="B41" s="307" t="s">
        <v>343</v>
      </c>
      <c r="C41" s="213" t="n">
        <f aca="false">2^Num_Bits</f>
        <v>16777216</v>
      </c>
      <c r="D41" s="177"/>
      <c r="E41" s="177"/>
      <c r="F41" s="307" t="s">
        <v>338</v>
      </c>
      <c r="G41" s="213" t="str">
        <f aca="false">D18</f>
        <v>[V]</v>
      </c>
      <c r="H41" s="177"/>
    </row>
    <row r="42" customFormat="false" ht="15" hidden="true" customHeight="true" outlineLevel="0" collapsed="false">
      <c r="A42" s="177"/>
      <c r="B42" s="307" t="s">
        <v>344</v>
      </c>
      <c r="C42" s="213" t="n">
        <f aca="false">-(2^(Num_Bits-1))</f>
        <v>-8388608</v>
      </c>
      <c r="D42" s="213" t="str">
        <f aca="false">RIGHT(DEC2HEX(C42,Number_of_hex_digits),Number_of_hex_digits)</f>
        <v>800000</v>
      </c>
      <c r="E42" s="177"/>
      <c r="F42" s="307" t="s">
        <v>337</v>
      </c>
      <c r="G42" s="213" t="n">
        <f aca="false">B18*VLOOKUP(G41,F53:G56,2,FALSE())</f>
        <v>0.073</v>
      </c>
      <c r="H42" s="177"/>
    </row>
    <row r="43" customFormat="false" ht="15" hidden="true" customHeight="true" outlineLevel="0" collapsed="false">
      <c r="A43" s="177"/>
      <c r="B43" s="307" t="s">
        <v>345</v>
      </c>
      <c r="C43" s="213" t="n">
        <f aca="false">2^(Num_Bits-1)-1</f>
        <v>8388607</v>
      </c>
      <c r="D43" s="213" t="str">
        <f aca="false">RIGHT(DEC2HEX(C43,Number_of_hex_digits),Number_of_hex_digits)</f>
        <v>7FFFFF</v>
      </c>
      <c r="E43" s="177"/>
      <c r="F43" s="307" t="s">
        <v>346</v>
      </c>
      <c r="G43" s="312" t="b">
        <f aca="false">OR((G42&gt;Input_Range-LSB_Size_V),(G42&lt;-Input_Range))</f>
        <v>0</v>
      </c>
      <c r="H43" s="177"/>
    </row>
    <row r="44" customFormat="false" ht="15" hidden="true" customHeight="true" outlineLevel="0" collapsed="false">
      <c r="A44" s="177"/>
      <c r="B44" s="307" t="s">
        <v>347</v>
      </c>
      <c r="C44" s="312" t="b">
        <f aca="false">IF(Input_Type="[Hex]",ISNUMBER(HEX2DEC(Code)),IF(Input_Type="[Decimal]",ISNONTEXT(Code),"Developer Error"))</f>
        <v>1</v>
      </c>
      <c r="D44" s="177"/>
      <c r="E44" s="177"/>
      <c r="F44" s="307" t="s">
        <v>348</v>
      </c>
      <c r="G44" s="213" t="e">
        <f aca="false">IF(voltage_out_of_range?,IF(G42&gt;=Input_Range,"POSITIVE",IF(G42&lt;-Input_Range,"NEGATIVE","Developer Error")),"-")</f>
        <v>#VALUE!</v>
      </c>
      <c r="H44" s="177"/>
      <c r="I44" s="177"/>
      <c r="J44" s="177"/>
      <c r="K44" s="177"/>
      <c r="L44" s="177"/>
      <c r="M44" s="177"/>
    </row>
    <row r="45" customFormat="false" ht="15" hidden="true" customHeight="true" outlineLevel="0" collapsed="false">
      <c r="A45" s="177"/>
      <c r="B45" s="307" t="s">
        <v>349</v>
      </c>
      <c r="C45" s="213" t="e">
        <f aca="false">IF(is_number?,IF(Input_Type="[Hex]",IF(HEX2DEC(Code)&lt;(2^Num_Bits),TRUE(),FALSE()),(IF(Input_Type="[Decimal]",AND((Code&gt;=Min_Code_Decimal),(Code&lt;=Max_Code_Decimal)),FALSE()))))</f>
        <v>#VALUE!</v>
      </c>
      <c r="D45" s="177"/>
      <c r="E45" s="177"/>
      <c r="F45" s="307" t="s">
        <v>350</v>
      </c>
      <c r="G45" s="213" t="n">
        <f aca="false">IF(G44="POSITIVE",Max_Code_Decimal,IF(G44="NEGATIVE",Min_Code_Decimal,ROUND(G42/(LSB_Size_V),0)))</f>
        <v>244947</v>
      </c>
      <c r="H45" s="177"/>
      <c r="I45" s="177"/>
      <c r="J45" s="177"/>
      <c r="K45" s="177"/>
      <c r="L45" s="177"/>
      <c r="M45" s="177"/>
    </row>
    <row r="46" customFormat="false" ht="15" hidden="true" customHeight="true" outlineLevel="0" collapsed="false">
      <c r="A46" s="177"/>
      <c r="B46" s="307" t="s">
        <v>351</v>
      </c>
      <c r="C46" s="177" t="e">
        <f aca="false">AND(is_number?,in_range?)</f>
        <v>#VALUE!</v>
      </c>
      <c r="D46" s="177"/>
      <c r="E46" s="177"/>
      <c r="F46" s="307" t="s">
        <v>352</v>
      </c>
      <c r="G46" s="213" t="str">
        <f aca="false">IF(G44="POSITIVE",Max_Code_Hex,IF(G44="NEGATIVE",Min_Code_Hex,RIGHT(DEC2HEX(ROUND(G42/(LSB_Size_V),0),Number_of_hex_digits),Number_of_hex_digits)))</f>
        <v>03BCD3</v>
      </c>
      <c r="H46" s="177"/>
      <c r="I46" s="177"/>
      <c r="J46" s="177"/>
      <c r="K46" s="177"/>
      <c r="L46" s="177"/>
      <c r="M46" s="177"/>
    </row>
    <row r="47" customFormat="false" ht="15" hidden="true" customHeight="true" outlineLevel="0" collapsed="false">
      <c r="A47" s="177"/>
      <c r="B47" s="177"/>
      <c r="C47" s="177"/>
      <c r="D47" s="177"/>
      <c r="E47" s="177"/>
      <c r="F47" s="307" t="s">
        <v>353</v>
      </c>
      <c r="G47" s="213" t="str">
        <f aca="false">H18</f>
        <v>[Hex]</v>
      </c>
      <c r="H47" s="177"/>
      <c r="I47" s="177"/>
      <c r="J47" s="177"/>
      <c r="K47" s="177"/>
      <c r="L47" s="177"/>
      <c r="M47" s="177"/>
    </row>
    <row r="48" customFormat="false" ht="15" hidden="true" customHeight="true" outlineLevel="0" collapsed="false">
      <c r="A48" s="177"/>
      <c r="B48" s="308" t="s">
        <v>354</v>
      </c>
      <c r="C48" s="308"/>
      <c r="D48" s="177"/>
      <c r="E48" s="177"/>
      <c r="F48" s="307" t="s">
        <v>355</v>
      </c>
      <c r="G48" s="213" t="str">
        <f aca="false">IF(G47="[Hex]",G46,IF(G47="[Decimal]",G45,"Developer Error"))</f>
        <v>03BCD3</v>
      </c>
      <c r="H48" s="177"/>
      <c r="I48" s="177"/>
      <c r="J48" s="177"/>
      <c r="K48" s="177"/>
      <c r="L48" s="177"/>
      <c r="M48" s="177"/>
    </row>
    <row r="49" customFormat="false" ht="15" hidden="true" customHeight="true" outlineLevel="0" collapsed="false">
      <c r="A49" s="177"/>
      <c r="B49" s="307" t="s">
        <v>356</v>
      </c>
      <c r="C49" s="311" t="n">
        <v>2</v>
      </c>
      <c r="D49" s="177"/>
      <c r="E49" s="177"/>
      <c r="F49" s="177"/>
      <c r="G49" s="177"/>
      <c r="H49" s="177"/>
      <c r="I49" s="177"/>
      <c r="J49" s="177"/>
      <c r="K49" s="177"/>
      <c r="L49" s="177"/>
      <c r="M49" s="177"/>
    </row>
    <row r="50" customFormat="false" ht="15" hidden="true" customHeight="true" outlineLevel="0" collapsed="false">
      <c r="A50" s="177"/>
      <c r="B50" s="307" t="s">
        <v>357</v>
      </c>
      <c r="C50" s="213" t="n">
        <f aca="false">C35*FSR_Multiplier/C36</f>
        <v>5</v>
      </c>
      <c r="D50" s="177"/>
      <c r="E50" s="177"/>
      <c r="F50" s="177"/>
      <c r="G50" s="177"/>
      <c r="H50" s="177"/>
      <c r="I50" s="177"/>
      <c r="J50" s="177"/>
      <c r="K50" s="177"/>
      <c r="L50" s="177"/>
      <c r="M50" s="177"/>
    </row>
    <row r="51" customFormat="false" ht="15" hidden="true" customHeight="true" outlineLevel="0" collapsed="false">
      <c r="A51" s="177"/>
      <c r="B51" s="307" t="s">
        <v>358</v>
      </c>
      <c r="C51" s="213" t="n">
        <f aca="false">C50/C41</f>
        <v>2.98023223876953E-007</v>
      </c>
      <c r="D51" s="177" t="s">
        <v>315</v>
      </c>
      <c r="E51" s="177"/>
      <c r="F51" s="177"/>
      <c r="G51" s="177"/>
      <c r="H51" s="177"/>
      <c r="I51" s="177"/>
      <c r="J51" s="177"/>
      <c r="K51" s="177"/>
      <c r="L51" s="177"/>
      <c r="M51" s="177"/>
    </row>
    <row r="52" customFormat="false" ht="15" hidden="true" customHeight="true" outlineLevel="0" collapsed="false">
      <c r="F52" s="313" t="s">
        <v>359</v>
      </c>
      <c r="G52" s="313" t="s">
        <v>360</v>
      </c>
    </row>
    <row r="53" customFormat="false" ht="15" hidden="true" customHeight="true" outlineLevel="0" collapsed="false">
      <c r="B53" s="308" t="s">
        <v>361</v>
      </c>
      <c r="C53" s="308"/>
      <c r="F53" s="192" t="s">
        <v>315</v>
      </c>
      <c r="G53" s="314" t="n">
        <v>1</v>
      </c>
    </row>
    <row r="54" customFormat="false" ht="15" hidden="true" customHeight="true" outlineLevel="0" collapsed="false">
      <c r="F54" s="192" t="s">
        <v>362</v>
      </c>
      <c r="G54" s="315" t="n">
        <v>0.001</v>
      </c>
    </row>
    <row r="55" customFormat="false" ht="15" hidden="true" customHeight="true" outlineLevel="0" collapsed="false">
      <c r="B55" s="316" t="s">
        <v>363</v>
      </c>
      <c r="C55" s="317" t="n">
        <v>0.75</v>
      </c>
      <c r="F55" s="192" t="s">
        <v>364</v>
      </c>
      <c r="G55" s="315" t="n">
        <v>1E-006</v>
      </c>
    </row>
    <row r="56" customFormat="false" ht="15" hidden="true" customHeight="true" outlineLevel="0" collapsed="false">
      <c r="B56" s="316" t="s">
        <v>365</v>
      </c>
      <c r="C56" s="317" t="n">
        <v>5.5</v>
      </c>
      <c r="F56" s="192" t="s">
        <v>318</v>
      </c>
      <c r="G56" s="315" t="n">
        <v>1E-009</v>
      </c>
      <c r="H56" s="318"/>
    </row>
    <row r="57" customFormat="false" ht="15" hidden="true" customHeight="true" outlineLevel="0" collapsed="false">
      <c r="B57" s="319" t="s">
        <v>366</v>
      </c>
      <c r="F57" s="177"/>
      <c r="G57" s="177"/>
      <c r="H57" s="318"/>
    </row>
    <row r="58" customFormat="false" ht="15" hidden="true" customHeight="true" outlineLevel="0" collapsed="false">
      <c r="B58" s="320" t="n">
        <v>1</v>
      </c>
      <c r="H58" s="318"/>
    </row>
    <row r="59" customFormat="false" ht="15" hidden="true" customHeight="true" outlineLevel="0" collapsed="false">
      <c r="B59" s="320" t="n">
        <v>2</v>
      </c>
    </row>
    <row r="60" customFormat="false" ht="15" hidden="true" customHeight="true" outlineLevel="0" collapsed="false">
      <c r="B60" s="320" t="n">
        <v>4</v>
      </c>
    </row>
    <row r="61" customFormat="false" ht="15" hidden="true" customHeight="true" outlineLevel="0" collapsed="false">
      <c r="B61" s="320" t="n">
        <v>8</v>
      </c>
    </row>
    <row r="62" customFormat="false" ht="15" hidden="true" customHeight="true" outlineLevel="0" collapsed="false">
      <c r="B62" s="320" t="n">
        <v>16</v>
      </c>
    </row>
    <row r="63" customFormat="false" ht="15" hidden="true" customHeight="true" outlineLevel="0" collapsed="false">
      <c r="B63" s="320" t="n">
        <v>32</v>
      </c>
    </row>
    <row r="64" customFormat="false" ht="15" hidden="true" customHeight="true" outlineLevel="0" collapsed="false">
      <c r="B64" s="320" t="n">
        <v>64</v>
      </c>
    </row>
    <row r="65" customFormat="false" ht="15" hidden="true" customHeight="true" outlineLevel="0" collapsed="false">
      <c r="B65" s="320" t="n">
        <v>128</v>
      </c>
    </row>
    <row r="66" customFormat="false" ht="15" hidden="true" customHeight="true" outlineLevel="0" collapsed="false"/>
    <row r="67" customFormat="false" ht="15" hidden="true" customHeight="true" outlineLevel="0" collapsed="false"/>
  </sheetData>
  <sheetProtection sheet="true" objects="true" scenarios="true" selectLockedCells="true"/>
  <mergeCells count="25">
    <mergeCell ref="A1:M3"/>
    <mergeCell ref="L5:M5"/>
    <mergeCell ref="B8:D8"/>
    <mergeCell ref="F8:H8"/>
    <mergeCell ref="E9:E10"/>
    <mergeCell ref="B13:D13"/>
    <mergeCell ref="F13:H13"/>
    <mergeCell ref="B14:C14"/>
    <mergeCell ref="F14:G15"/>
    <mergeCell ref="H14:H15"/>
    <mergeCell ref="B15:D15"/>
    <mergeCell ref="B17:D17"/>
    <mergeCell ref="F17:H17"/>
    <mergeCell ref="B18:C19"/>
    <mergeCell ref="D18:D19"/>
    <mergeCell ref="E18:E19"/>
    <mergeCell ref="F18:G19"/>
    <mergeCell ref="H18:H19"/>
    <mergeCell ref="F20:G20"/>
    <mergeCell ref="A31:M31"/>
    <mergeCell ref="F33:G33"/>
    <mergeCell ref="B38:C38"/>
    <mergeCell ref="F40:G40"/>
    <mergeCell ref="B48:C48"/>
    <mergeCell ref="B53:C53"/>
  </mergeCells>
  <conditionalFormatting sqref="B14:C14">
    <cfRule type="expression" priority="2" aboveAverage="0" equalAverage="0" bottom="0" percent="0" rank="0" text="" dxfId="38">
      <formula>IF($F$14="(Invalid Code)",1,0)</formula>
    </cfRule>
  </conditionalFormatting>
  <conditionalFormatting sqref="F20:G20">
    <cfRule type="expression" priority="3" aboveAverage="0" equalAverage="0" bottom="0" percent="0" rank="0" text="" dxfId="39">
      <formula>voltage_out_of_range?</formula>
    </cfRule>
  </conditionalFormatting>
  <dataValidations count="4">
    <dataValidation allowBlank="true" errorStyle="stop" operator="between" showDropDown="false" showErrorMessage="true" showInputMessage="true" sqref="H14:H15 D18:D19" type="list">
      <formula1>$F$53:$F$56</formula1>
      <formula2>0</formula2>
    </dataValidation>
    <dataValidation allowBlank="true" error="Please select a gain value from the dropdown list" errorStyle="stop" errorTitle="PGA Gain" operator="between" prompt="The ADC conversion result scales with the PGA gain." promptTitle="PGA Gain" showDropDown="false" showErrorMessage="true" showInputMessage="false" sqref="C9" type="list">
      <formula1>$B$58:$B$65</formula1>
      <formula2>0</formula2>
    </dataValidation>
    <dataValidation allowBlank="false" error="The reference voltage is outside of the recommended operating conditions for this device!" errorStyle="warning" errorTitle="Value Out-of-Range" operator="between" prompt="The ADC conversion result scales with the applied reference voltage." promptTitle="ADC Reference Voltage" showDropDown="false" showErrorMessage="true" showInputMessage="false" sqref="C10" type="decimal">
      <formula1>C55</formula1>
      <formula2>C56</formula2>
    </dataValidation>
    <dataValidation allowBlank="true" errorStyle="stop" operator="between" showDropDown="false" showErrorMessage="true" showInputMessage="true" sqref="D14 H18:H19" type="list">
      <formula1>"[Hex],[Decimal]"</formula1>
      <formula2>0</formula2>
    </dataValidation>
  </dataValidations>
  <hyperlinks>
    <hyperlink ref="L5"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53"/>
  <sheetViews>
    <sheetView showFormulas="false" showGridLines="false" showRowColHeaders="false" showZeros="true" rightToLeft="false" tabSelected="false" showOutlineSymbols="true" defaultGridColor="true" view="normal" topLeftCell="BH1" colorId="64" zoomScale="75" zoomScaleNormal="75" zoomScalePageLayoutView="100" workbookViewId="0">
      <selection pane="topLeft" activeCell="B16" activeCellId="0" sqref="B16"/>
    </sheetView>
  </sheetViews>
  <sheetFormatPr defaultColWidth="9.1484375" defaultRowHeight="15" customHeight="true" zeroHeight="false" outlineLevelRow="0" outlineLevelCol="0"/>
  <cols>
    <col collapsed="false" customWidth="true" hidden="false" outlineLevel="0" max="1" min="1" style="204" width="5.86"/>
    <col collapsed="false" customWidth="true" hidden="false" outlineLevel="0" max="26" min="2" style="204" width="3.29"/>
    <col collapsed="false" customWidth="true" hidden="false" outlineLevel="0" max="29" min="27" style="204" width="4.42"/>
    <col collapsed="false" customWidth="true" hidden="false" outlineLevel="0" max="56" min="30" style="204" width="3.29"/>
    <col collapsed="false" customWidth="true" hidden="false" outlineLevel="0" max="57" min="57" style="204" width="13.71"/>
    <col collapsed="false" customWidth="false" hidden="false" outlineLevel="0" max="16384" min="58" style="204" width="9.14"/>
  </cols>
  <sheetData>
    <row r="1" customFormat="false" ht="15" hidden="false" customHeight="true" outlineLevel="0" collapsed="false">
      <c r="B1" s="321" t="s">
        <v>367</v>
      </c>
      <c r="C1" s="321" t="str">
        <f aca="false">B1</f>
        <v>aa</v>
      </c>
      <c r="D1" s="321" t="str">
        <f aca="false">C1</f>
        <v>aa</v>
      </c>
      <c r="E1" s="321" t="str">
        <f aca="false">D1</f>
        <v>aa</v>
      </c>
      <c r="F1" s="321" t="str">
        <f aca="false">E1</f>
        <v>aa</v>
      </c>
      <c r="G1" s="321" t="str">
        <f aca="false">F1</f>
        <v>aa</v>
      </c>
      <c r="H1" s="321" t="str">
        <f aca="false">G1</f>
        <v>aa</v>
      </c>
      <c r="I1" s="321" t="str">
        <f aca="false">H1</f>
        <v>aa</v>
      </c>
      <c r="J1" s="321" t="str">
        <f aca="false">I1</f>
        <v>aa</v>
      </c>
      <c r="K1" s="321" t="str">
        <f aca="false">J1</f>
        <v>aa</v>
      </c>
      <c r="L1" s="321" t="str">
        <f aca="false">K1</f>
        <v>aa</v>
      </c>
      <c r="M1" s="321" t="str">
        <f aca="false">L1</f>
        <v>aa</v>
      </c>
      <c r="N1" s="321" t="str">
        <f aca="false">M1</f>
        <v>aa</v>
      </c>
      <c r="O1" s="321" t="str">
        <f aca="false">N1</f>
        <v>aa</v>
      </c>
      <c r="P1" s="321" t="str">
        <f aca="false">O1</f>
        <v>aa</v>
      </c>
      <c r="Q1" s="321" t="str">
        <f aca="false">P1</f>
        <v>aa</v>
      </c>
      <c r="R1" s="321" t="str">
        <f aca="false">Q1</f>
        <v>aa</v>
      </c>
      <c r="S1" s="321" t="str">
        <f aca="false">R1</f>
        <v>aa</v>
      </c>
      <c r="T1" s="321" t="str">
        <f aca="false">S1</f>
        <v>aa</v>
      </c>
      <c r="U1" s="321" t="str">
        <f aca="false">T1</f>
        <v>aa</v>
      </c>
      <c r="V1" s="321" t="str">
        <f aca="false">U1</f>
        <v>aa</v>
      </c>
      <c r="W1" s="321" t="str">
        <f aca="false">V1</f>
        <v>aa</v>
      </c>
      <c r="X1" s="321" t="str">
        <f aca="false">W1</f>
        <v>aa</v>
      </c>
      <c r="Y1" s="321" t="str">
        <f aca="false">X1</f>
        <v>aa</v>
      </c>
      <c r="Z1" s="321" t="str">
        <f aca="false">Y1</f>
        <v>aa</v>
      </c>
      <c r="AA1" s="321"/>
      <c r="AB1" s="321"/>
      <c r="AC1" s="321"/>
      <c r="AD1" s="321" t="str">
        <f aca="false">Z1</f>
        <v>aa</v>
      </c>
      <c r="AE1" s="321" t="str">
        <f aca="false">AD1</f>
        <v>aa</v>
      </c>
      <c r="AF1" s="321" t="str">
        <f aca="false">AE1</f>
        <v>aa</v>
      </c>
      <c r="AG1" s="321" t="str">
        <f aca="false">AF1</f>
        <v>aa</v>
      </c>
      <c r="AH1" s="321" t="str">
        <f aca="false">AG1</f>
        <v>aa</v>
      </c>
      <c r="AI1" s="321" t="e">
        <f aca="false">#ref!</f>
        <v>#NAME?</v>
      </c>
      <c r="AJ1" s="321" t="e">
        <f aca="false">#ref!</f>
        <v>#NAME?</v>
      </c>
      <c r="AK1" s="321" t="e">
        <f aca="false">AJ1</f>
        <v>#NAME?</v>
      </c>
      <c r="AL1" s="321" t="e">
        <f aca="false">AK1</f>
        <v>#NAME?</v>
      </c>
      <c r="AM1" s="321" t="e">
        <f aca="false">AL1</f>
        <v>#NAME?</v>
      </c>
      <c r="AN1" s="321" t="e">
        <f aca="false">AM1</f>
        <v>#NAME?</v>
      </c>
      <c r="AO1" s="321" t="e">
        <f aca="false">AN1</f>
        <v>#NAME?</v>
      </c>
      <c r="AP1" s="321" t="e">
        <f aca="false">AO1</f>
        <v>#NAME?</v>
      </c>
      <c r="AQ1" s="321" t="e">
        <f aca="false">AP1</f>
        <v>#NAME?</v>
      </c>
      <c r="AR1" s="321" t="e">
        <f aca="false">AQ1</f>
        <v>#NAME?</v>
      </c>
      <c r="AS1" s="321" t="e">
        <f aca="false">#ref!</f>
        <v>#NAME?</v>
      </c>
      <c r="AT1" s="321" t="e">
        <f aca="false">#ref!</f>
        <v>#NAME?</v>
      </c>
      <c r="AU1" s="321" t="e">
        <f aca="false">AT1</f>
        <v>#NAME?</v>
      </c>
      <c r="AV1" s="321" t="e">
        <f aca="false">AU1</f>
        <v>#NAME?</v>
      </c>
      <c r="AW1" s="321" t="e">
        <f aca="false">AV1</f>
        <v>#NAME?</v>
      </c>
      <c r="AX1" s="321" t="e">
        <f aca="false">AW1</f>
        <v>#NAME?</v>
      </c>
      <c r="AY1" s="321"/>
      <c r="AZ1" s="321" t="e">
        <f aca="false">AX1</f>
        <v>#NAME?</v>
      </c>
      <c r="BA1" s="321" t="e">
        <f aca="false">AZ1</f>
        <v>#NAME?</v>
      </c>
      <c r="BB1" s="321" t="e">
        <f aca="false">BA1</f>
        <v>#NAME?</v>
      </c>
      <c r="BC1" s="321" t="e">
        <f aca="false">BB1</f>
        <v>#NAME?</v>
      </c>
      <c r="BD1" s="321" t="e">
        <f aca="false">BC1</f>
        <v>#NAME?</v>
      </c>
      <c r="BE1" s="321" t="e">
        <f aca="false">BD1</f>
        <v>#NAME?</v>
      </c>
    </row>
    <row r="4" customFormat="false" ht="15" hidden="false" customHeight="true" outlineLevel="0" collapsed="false">
      <c r="A4" s="322"/>
      <c r="B4" s="322"/>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c r="AF4" s="322"/>
      <c r="AG4" s="322"/>
      <c r="AH4" s="322"/>
      <c r="AI4" s="322"/>
      <c r="AJ4" s="322"/>
      <c r="AK4" s="322"/>
      <c r="AL4" s="322"/>
      <c r="AM4" s="322"/>
      <c r="AN4" s="322"/>
      <c r="AO4" s="322"/>
      <c r="AP4" s="322"/>
      <c r="AQ4" s="322"/>
      <c r="AR4" s="322"/>
      <c r="AS4" s="322"/>
      <c r="AT4" s="322"/>
      <c r="AU4" s="322"/>
      <c r="AV4" s="322"/>
      <c r="AW4" s="322"/>
      <c r="AX4" s="322"/>
      <c r="AY4" s="322"/>
      <c r="AZ4" s="322"/>
      <c r="BA4" s="322"/>
      <c r="BB4" s="322"/>
      <c r="BC4" s="322"/>
      <c r="BD4" s="322"/>
      <c r="BE4" s="322"/>
    </row>
    <row r="5" customFormat="false" ht="15" hidden="false" customHeight="true" outlineLevel="0" collapsed="false">
      <c r="A5" s="213"/>
      <c r="B5" s="323"/>
      <c r="C5" s="323"/>
      <c r="D5" s="323"/>
      <c r="E5" s="323"/>
      <c r="F5" s="323"/>
      <c r="G5" s="323"/>
      <c r="H5" s="323"/>
      <c r="I5" s="323"/>
      <c r="J5" s="323"/>
      <c r="K5" s="323"/>
      <c r="L5" s="323"/>
      <c r="M5" s="323"/>
      <c r="N5" s="323"/>
      <c r="O5" s="323"/>
      <c r="P5" s="323"/>
      <c r="Q5" s="323"/>
      <c r="R5" s="323"/>
      <c r="S5" s="323"/>
      <c r="T5" s="323"/>
      <c r="U5" s="323"/>
      <c r="V5" s="323"/>
      <c r="W5" s="323"/>
      <c r="AZ5" s="26" t="s">
        <v>16</v>
      </c>
      <c r="BA5" s="26"/>
      <c r="BB5" s="26"/>
      <c r="BC5" s="26"/>
      <c r="BD5" s="26"/>
      <c r="BE5" s="26"/>
    </row>
    <row r="6" customFormat="false" ht="15" hidden="false" customHeight="true" outlineLevel="0" collapsed="false">
      <c r="A6" s="213"/>
      <c r="B6" s="310"/>
      <c r="C6" s="310"/>
      <c r="D6" s="310"/>
      <c r="E6" s="310"/>
      <c r="F6" s="310"/>
      <c r="G6" s="310"/>
      <c r="H6" s="310"/>
      <c r="I6" s="192"/>
      <c r="J6" s="192"/>
      <c r="K6" s="192"/>
      <c r="L6" s="192"/>
      <c r="M6" s="192"/>
      <c r="N6" s="192"/>
      <c r="O6" s="192"/>
      <c r="P6" s="192"/>
      <c r="Q6" s="192"/>
      <c r="R6" s="192"/>
      <c r="S6" s="192"/>
      <c r="T6" s="192"/>
      <c r="U6" s="192"/>
      <c r="V6" s="192"/>
      <c r="W6" s="192"/>
      <c r="BE6" s="192"/>
    </row>
    <row r="7" customFormat="false" ht="15" hidden="false" customHeight="true" outlineLevel="0" collapsed="false">
      <c r="A7" s="213"/>
      <c r="BE7" s="28" t="s">
        <v>17</v>
      </c>
    </row>
    <row r="8" customFormat="false" ht="15" hidden="false" customHeight="true" outlineLevel="0" collapsed="false">
      <c r="A8" s="213"/>
      <c r="B8" s="324" t="s">
        <v>368</v>
      </c>
      <c r="C8" s="324"/>
      <c r="D8" s="324"/>
      <c r="E8" s="324"/>
      <c r="F8" s="324"/>
      <c r="G8" s="324"/>
      <c r="H8" s="324"/>
      <c r="I8" s="324"/>
      <c r="J8" s="324"/>
      <c r="K8" s="324"/>
      <c r="L8" s="324"/>
      <c r="M8" s="324"/>
      <c r="N8" s="324"/>
      <c r="O8" s="324"/>
      <c r="P8" s="324"/>
      <c r="Q8" s="324"/>
      <c r="R8" s="324"/>
      <c r="S8" s="324"/>
      <c r="T8" s="324"/>
      <c r="U8" s="324"/>
      <c r="V8" s="324"/>
      <c r="W8" s="324"/>
      <c r="X8" s="324"/>
      <c r="Y8" s="324"/>
      <c r="AD8" s="276" t="s">
        <v>369</v>
      </c>
      <c r="AE8" s="276"/>
      <c r="AF8" s="276"/>
      <c r="AG8" s="276"/>
      <c r="AH8" s="276"/>
      <c r="AI8" s="276"/>
      <c r="AJ8" s="276"/>
      <c r="AK8" s="276"/>
      <c r="AL8" s="276"/>
      <c r="AM8" s="276"/>
      <c r="AN8" s="276"/>
      <c r="AO8" s="276"/>
      <c r="AP8" s="276"/>
      <c r="AQ8" s="276"/>
      <c r="AR8" s="276"/>
      <c r="AS8" s="276"/>
      <c r="AT8" s="276"/>
      <c r="AU8" s="276"/>
      <c r="AV8" s="276"/>
      <c r="AW8" s="276"/>
      <c r="BA8" s="32" t="s">
        <v>18</v>
      </c>
      <c r="BB8" s="32"/>
      <c r="BC8" s="32"/>
      <c r="BD8" s="32"/>
      <c r="BE8" s="30" t="s">
        <v>19</v>
      </c>
    </row>
    <row r="9" customFormat="false" ht="15" hidden="false" customHeight="true" outlineLevel="0" collapsed="false">
      <c r="A9" s="213"/>
      <c r="B9" s="324"/>
      <c r="C9" s="324"/>
      <c r="D9" s="324"/>
      <c r="E9" s="324"/>
      <c r="F9" s="324"/>
      <c r="G9" s="324"/>
      <c r="H9" s="324"/>
      <c r="I9" s="324"/>
      <c r="J9" s="324"/>
      <c r="K9" s="324"/>
      <c r="L9" s="324"/>
      <c r="M9" s="324"/>
      <c r="N9" s="324"/>
      <c r="O9" s="324"/>
      <c r="P9" s="324"/>
      <c r="Q9" s="324"/>
      <c r="R9" s="324"/>
      <c r="S9" s="324"/>
      <c r="T9" s="324"/>
      <c r="U9" s="324"/>
      <c r="V9" s="324"/>
      <c r="W9" s="324"/>
      <c r="X9" s="324"/>
      <c r="Y9" s="324"/>
      <c r="AD9" s="325" t="s">
        <v>317</v>
      </c>
      <c r="AE9" s="325"/>
      <c r="AF9" s="325"/>
      <c r="AG9" s="325"/>
      <c r="AH9" s="325"/>
      <c r="AI9" s="326" t="n">
        <v>0.03125</v>
      </c>
      <c r="AJ9" s="326"/>
      <c r="AK9" s="326"/>
      <c r="AL9" s="326"/>
      <c r="AM9" s="326"/>
      <c r="AN9" s="326"/>
      <c r="AO9" s="326"/>
      <c r="AP9" s="326"/>
      <c r="AQ9" s="326"/>
      <c r="AR9" s="326"/>
      <c r="AS9" s="327" t="s">
        <v>370</v>
      </c>
      <c r="AT9" s="327"/>
      <c r="AU9" s="327"/>
      <c r="AV9" s="327"/>
      <c r="AW9" s="327"/>
      <c r="BA9" s="32" t="s">
        <v>20</v>
      </c>
      <c r="BB9" s="32"/>
      <c r="BC9" s="32"/>
      <c r="BD9" s="32"/>
      <c r="BE9" s="31" t="s">
        <v>19</v>
      </c>
    </row>
    <row r="10" customFormat="false" ht="15" hidden="false" customHeight="true" outlineLevel="0" collapsed="false">
      <c r="A10" s="213"/>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AD10" s="325"/>
      <c r="AE10" s="325"/>
      <c r="AF10" s="325"/>
      <c r="AG10" s="325"/>
      <c r="AH10" s="325"/>
      <c r="AI10" s="326"/>
      <c r="AJ10" s="326"/>
      <c r="AK10" s="326"/>
      <c r="AL10" s="326"/>
      <c r="AM10" s="326"/>
      <c r="AN10" s="326"/>
      <c r="AO10" s="326"/>
      <c r="AP10" s="326"/>
      <c r="AQ10" s="326"/>
      <c r="AR10" s="326"/>
      <c r="AS10" s="327"/>
      <c r="AT10" s="327"/>
      <c r="AU10" s="327"/>
      <c r="AV10" s="327"/>
      <c r="AW10" s="327"/>
      <c r="AX10" s="38"/>
      <c r="AY10" s="328" t="s">
        <v>173</v>
      </c>
      <c r="AZ10" s="328"/>
      <c r="BA10" s="328"/>
      <c r="BB10" s="328"/>
      <c r="BC10" s="328"/>
      <c r="BD10" s="328"/>
      <c r="BE10" s="199" t="s">
        <v>19</v>
      </c>
    </row>
    <row r="11" customFormat="false" ht="15" hidden="false" customHeight="true" outlineLevel="0" collapsed="false">
      <c r="A11" s="213"/>
      <c r="B11" s="329"/>
      <c r="C11" s="329"/>
      <c r="D11" s="329"/>
      <c r="E11" s="330"/>
      <c r="F11" s="274"/>
      <c r="G11" s="274"/>
      <c r="H11" s="274"/>
      <c r="I11" s="274"/>
      <c r="J11" s="274"/>
      <c r="K11" s="274"/>
      <c r="L11" s="192"/>
      <c r="M11" s="192"/>
      <c r="N11" s="274"/>
      <c r="O11" s="274"/>
      <c r="P11" s="192"/>
      <c r="Q11" s="192"/>
      <c r="R11" s="192"/>
      <c r="S11" s="192"/>
      <c r="T11" s="192"/>
      <c r="U11" s="192"/>
      <c r="V11" s="192"/>
      <c r="W11" s="192"/>
      <c r="X11" s="274"/>
      <c r="Y11" s="274"/>
      <c r="AG11" s="213"/>
      <c r="AH11" s="32"/>
      <c r="AI11" s="331"/>
      <c r="AJ11" s="331"/>
      <c r="AK11" s="331"/>
      <c r="AL11" s="331"/>
      <c r="AM11" s="331"/>
      <c r="AN11" s="331"/>
      <c r="AO11" s="331"/>
      <c r="AZ11" s="32" t="s">
        <v>21</v>
      </c>
      <c r="BA11" s="32"/>
      <c r="BB11" s="32"/>
      <c r="BC11" s="32"/>
      <c r="BD11" s="32"/>
      <c r="BE11" s="33" t="s">
        <v>19</v>
      </c>
    </row>
    <row r="12" customFormat="false" ht="15" hidden="false" customHeight="true" outlineLevel="0" collapsed="false">
      <c r="A12" s="213"/>
      <c r="B12" s="329"/>
      <c r="C12" s="329"/>
      <c r="D12" s="329"/>
      <c r="E12" s="330"/>
      <c r="F12" s="274"/>
      <c r="G12" s="274"/>
      <c r="H12" s="274"/>
      <c r="I12" s="274"/>
      <c r="J12" s="274"/>
      <c r="K12" s="274"/>
      <c r="L12" s="192"/>
      <c r="M12" s="192"/>
      <c r="N12" s="274"/>
      <c r="O12" s="274"/>
      <c r="P12" s="192"/>
      <c r="Q12" s="192"/>
      <c r="R12" s="192"/>
      <c r="S12" s="192"/>
      <c r="T12" s="192"/>
      <c r="U12" s="192"/>
      <c r="V12" s="192"/>
      <c r="W12" s="192"/>
      <c r="X12" s="274"/>
      <c r="Y12" s="274"/>
      <c r="AG12" s="213"/>
      <c r="AH12" s="32"/>
      <c r="AI12" s="331"/>
      <c r="AJ12" s="331"/>
      <c r="AK12" s="331"/>
      <c r="AL12" s="331"/>
      <c r="AM12" s="331"/>
      <c r="AN12" s="331"/>
      <c r="AO12" s="331"/>
    </row>
    <row r="13" customFormat="false" ht="15" hidden="false" customHeight="true" outlineLevel="0" collapsed="false">
      <c r="A13" s="213"/>
      <c r="B13" s="332" t="s">
        <v>371</v>
      </c>
      <c r="C13" s="332"/>
      <c r="D13" s="332"/>
      <c r="E13" s="332"/>
      <c r="F13" s="332"/>
      <c r="G13" s="332"/>
      <c r="H13" s="332"/>
      <c r="I13" s="332"/>
      <c r="J13" s="332"/>
      <c r="K13" s="332"/>
      <c r="L13" s="332"/>
      <c r="M13" s="332"/>
      <c r="N13" s="332"/>
      <c r="O13" s="332"/>
      <c r="P13" s="332"/>
      <c r="Q13" s="332"/>
      <c r="R13" s="332"/>
      <c r="S13" s="332"/>
      <c r="T13" s="332"/>
      <c r="U13" s="332"/>
      <c r="V13" s="332"/>
      <c r="W13" s="332"/>
      <c r="X13" s="332"/>
      <c r="Y13" s="332"/>
      <c r="AG13" s="213"/>
      <c r="AH13" s="32"/>
      <c r="AI13" s="331"/>
      <c r="AJ13" s="331"/>
      <c r="AK13" s="331"/>
      <c r="AL13" s="331"/>
      <c r="AM13" s="331"/>
      <c r="AN13" s="331"/>
      <c r="AO13" s="331"/>
    </row>
    <row r="14" customFormat="false" ht="15" hidden="false" customHeight="true" outlineLevel="0" collapsed="false">
      <c r="A14" s="213"/>
      <c r="B14" s="276" t="s">
        <v>372</v>
      </c>
      <c r="C14" s="276"/>
      <c r="D14" s="276"/>
      <c r="E14" s="276"/>
      <c r="F14" s="276"/>
      <c r="G14" s="276"/>
      <c r="H14" s="276"/>
      <c r="I14" s="276"/>
      <c r="J14" s="276"/>
      <c r="K14" s="276"/>
      <c r="L14" s="276"/>
      <c r="M14" s="276"/>
      <c r="N14" s="276"/>
      <c r="O14" s="276"/>
      <c r="P14" s="276"/>
      <c r="Q14" s="276"/>
      <c r="R14" s="276"/>
      <c r="S14" s="276"/>
      <c r="T14" s="276"/>
      <c r="U14" s="276"/>
      <c r="V14" s="276"/>
      <c r="W14" s="276"/>
      <c r="X14" s="276"/>
      <c r="Y14" s="276"/>
      <c r="BG14" s="32"/>
    </row>
    <row r="15" customFormat="false" ht="15" hidden="false" customHeight="true" outlineLevel="0" collapsed="false">
      <c r="A15" s="213"/>
      <c r="B15" s="333" t="s">
        <v>373</v>
      </c>
      <c r="C15" s="333"/>
      <c r="D15" s="333"/>
      <c r="E15" s="333"/>
      <c r="F15" s="334" t="s">
        <v>374</v>
      </c>
      <c r="G15" s="334"/>
      <c r="H15" s="334"/>
      <c r="I15" s="334"/>
      <c r="J15" s="334" t="s">
        <v>375</v>
      </c>
      <c r="K15" s="334"/>
      <c r="L15" s="334"/>
      <c r="M15" s="334"/>
      <c r="N15" s="334" t="s">
        <v>376</v>
      </c>
      <c r="O15" s="334"/>
      <c r="P15" s="334"/>
      <c r="Q15" s="334"/>
      <c r="R15" s="334" t="s">
        <v>377</v>
      </c>
      <c r="S15" s="334"/>
      <c r="T15" s="334"/>
      <c r="U15" s="334"/>
      <c r="V15" s="335" t="s">
        <v>378</v>
      </c>
      <c r="W15" s="335"/>
      <c r="X15" s="335"/>
      <c r="Y15" s="335"/>
      <c r="Z15" s="331"/>
      <c r="AA15" s="331"/>
      <c r="AB15" s="331"/>
      <c r="AC15" s="331"/>
      <c r="AD15" s="277" t="s">
        <v>379</v>
      </c>
      <c r="AE15" s="277"/>
      <c r="AF15" s="277"/>
      <c r="AG15" s="277"/>
      <c r="AH15" s="277"/>
      <c r="AI15" s="277"/>
      <c r="AJ15" s="277"/>
      <c r="AK15" s="277"/>
      <c r="AL15" s="277"/>
      <c r="AM15" s="277"/>
      <c r="AN15" s="277"/>
      <c r="AO15" s="277"/>
      <c r="AP15" s="277"/>
      <c r="AQ15" s="277"/>
      <c r="AR15" s="277"/>
      <c r="AS15" s="277"/>
      <c r="AT15" s="277"/>
      <c r="AU15" s="277"/>
      <c r="AV15" s="277"/>
      <c r="AW15" s="277"/>
    </row>
    <row r="16" customFormat="false" ht="15" hidden="false" customHeight="true" outlineLevel="0" collapsed="false">
      <c r="A16" s="213"/>
      <c r="B16" s="336" t="n">
        <v>3</v>
      </c>
      <c r="C16" s="336"/>
      <c r="D16" s="336"/>
      <c r="E16" s="336"/>
      <c r="F16" s="337" t="s">
        <v>380</v>
      </c>
      <c r="G16" s="337"/>
      <c r="H16" s="337"/>
      <c r="I16" s="337"/>
      <c r="J16" s="337" t="n">
        <v>0</v>
      </c>
      <c r="K16" s="337"/>
      <c r="L16" s="337"/>
      <c r="M16" s="337"/>
      <c r="N16" s="337" t="n">
        <v>0</v>
      </c>
      <c r="O16" s="337"/>
      <c r="P16" s="337"/>
      <c r="Q16" s="337"/>
      <c r="R16" s="249" t="n">
        <v>0</v>
      </c>
      <c r="S16" s="249"/>
      <c r="T16" s="249"/>
      <c r="U16" s="249"/>
      <c r="V16" s="338" t="n">
        <v>0</v>
      </c>
      <c r="W16" s="338"/>
      <c r="X16" s="338"/>
      <c r="Y16" s="338"/>
      <c r="Z16" s="331"/>
      <c r="AA16" s="339" t="s">
        <v>313</v>
      </c>
      <c r="AB16" s="339"/>
      <c r="AC16" s="331"/>
      <c r="AD16" s="340" t="n">
        <f aca="false">S37</f>
        <v>-40</v>
      </c>
      <c r="AE16" s="340"/>
      <c r="AF16" s="340"/>
      <c r="AG16" s="340"/>
      <c r="AH16" s="340"/>
      <c r="AI16" s="340"/>
      <c r="AJ16" s="341" t="s">
        <v>370</v>
      </c>
      <c r="AK16" s="341"/>
      <c r="AL16" s="341"/>
      <c r="AM16" s="341"/>
      <c r="AN16" s="342" t="n">
        <f aca="false">S36</f>
        <v>-1280</v>
      </c>
      <c r="AO16" s="342"/>
      <c r="AP16" s="342"/>
      <c r="AQ16" s="342"/>
      <c r="AR16" s="342"/>
      <c r="AS16" s="342"/>
      <c r="AT16" s="343" t="s">
        <v>381</v>
      </c>
      <c r="AU16" s="343"/>
      <c r="AV16" s="343"/>
      <c r="AW16" s="343"/>
    </row>
    <row r="17" customFormat="false" ht="15" hidden="false" customHeight="true" outlineLevel="0" collapsed="false">
      <c r="A17" s="213"/>
      <c r="B17" s="344" t="str">
        <f aca="false">LEFT(HEX2BIN(B16,4),1)</f>
        <v>0</v>
      </c>
      <c r="C17" s="345" t="str">
        <f aca="false">MID(HEX2BIN(B16,4),2,1)</f>
        <v>0</v>
      </c>
      <c r="D17" s="346" t="str">
        <f aca="false">MID(HEX2BIN(B16,4),3,1)</f>
        <v>1</v>
      </c>
      <c r="E17" s="346" t="str">
        <f aca="false">RIGHT(HEX2BIN(B16,4),1)</f>
        <v>1</v>
      </c>
      <c r="F17" s="346" t="str">
        <f aca="false">LEFT(HEX2BIN(F16,4),1)</f>
        <v>1</v>
      </c>
      <c r="G17" s="346" t="str">
        <f aca="false">MID(HEX2BIN(F16,4),2,1)</f>
        <v>0</v>
      </c>
      <c r="H17" s="346" t="str">
        <f aca="false">MID(HEX2BIN(F16,4),3,1)</f>
        <v>1</v>
      </c>
      <c r="I17" s="346" t="str">
        <f aca="false">RIGHT(HEX2BIN(F16,4),1)</f>
        <v>1</v>
      </c>
      <c r="J17" s="346" t="str">
        <f aca="false">LEFT(HEX2BIN(J16,4),1)</f>
        <v>0</v>
      </c>
      <c r="K17" s="346" t="str">
        <f aca="false">MID(HEX2BIN(J16,4),2,1)</f>
        <v>0</v>
      </c>
      <c r="L17" s="346" t="str">
        <f aca="false">MID(HEX2BIN(J16,4),3,1)</f>
        <v>0</v>
      </c>
      <c r="M17" s="346" t="str">
        <f aca="false">RIGHT(HEX2BIN(J16,4),1)</f>
        <v>0</v>
      </c>
      <c r="N17" s="346" t="str">
        <f aca="false">LEFT(HEX2BIN(N16,4),1)</f>
        <v>0</v>
      </c>
      <c r="O17" s="346" t="str">
        <f aca="false">MID(HEX2BIN(N16,4),2,1)</f>
        <v>0</v>
      </c>
      <c r="P17" s="346" t="str">
        <f aca="false">MID(HEX2BIN(N16,4),3,1)</f>
        <v>0</v>
      </c>
      <c r="Q17" s="346" t="str">
        <f aca="false">RIGHT(HEX2BIN(N16,4),1)</f>
        <v>0</v>
      </c>
      <c r="R17" s="345" t="str">
        <f aca="false">LEFT(HEX2BIN(R16,4),1)</f>
        <v>0</v>
      </c>
      <c r="S17" s="345" t="str">
        <f aca="false">MID(HEX2BIN(R16,4),2,1)</f>
        <v>0</v>
      </c>
      <c r="T17" s="345" t="str">
        <f aca="false">MID(HEX2BIN(R16,4),3,1)</f>
        <v>0</v>
      </c>
      <c r="U17" s="345" t="str">
        <f aca="false">RIGHT(HEX2BIN(R16,4),1)</f>
        <v>0</v>
      </c>
      <c r="V17" s="345" t="str">
        <f aca="false">LEFT(HEX2BIN(V16,4),1)</f>
        <v>0</v>
      </c>
      <c r="W17" s="345" t="str">
        <f aca="false">MID(HEX2BIN(V16,4),2,1)</f>
        <v>0</v>
      </c>
      <c r="X17" s="345" t="str">
        <f aca="false">MID(HEX2BIN(V16,4),3,1)</f>
        <v>0</v>
      </c>
      <c r="Y17" s="347" t="str">
        <f aca="false">RIGHT(HEX2BIN(V16,4),1)</f>
        <v>0</v>
      </c>
      <c r="Z17" s="331"/>
      <c r="AA17" s="339"/>
      <c r="AB17" s="339"/>
      <c r="AC17" s="331"/>
      <c r="AD17" s="340"/>
      <c r="AE17" s="340"/>
      <c r="AF17" s="340"/>
      <c r="AG17" s="340"/>
      <c r="AH17" s="340"/>
      <c r="AI17" s="340"/>
      <c r="AJ17" s="341"/>
      <c r="AK17" s="341"/>
      <c r="AL17" s="341"/>
      <c r="AM17" s="341"/>
      <c r="AN17" s="342"/>
      <c r="AO17" s="342"/>
      <c r="AP17" s="342"/>
      <c r="AQ17" s="342"/>
      <c r="AR17" s="342"/>
      <c r="AS17" s="342"/>
      <c r="AT17" s="343"/>
      <c r="AU17" s="343"/>
      <c r="AV17" s="343"/>
      <c r="AW17" s="343"/>
    </row>
    <row r="18" customFormat="false" ht="5.25" hidden="false" customHeight="true" outlineLevel="0" collapsed="false">
      <c r="A18" s="213"/>
      <c r="Z18" s="331"/>
      <c r="AA18" s="331"/>
      <c r="AB18" s="331"/>
      <c r="AC18" s="331"/>
    </row>
    <row r="19" customFormat="false" ht="8.25" hidden="false" customHeight="true" outlineLevel="0" collapsed="false">
      <c r="A19" s="213"/>
      <c r="D19" s="348"/>
      <c r="E19" s="349"/>
      <c r="F19" s="349"/>
      <c r="G19" s="349"/>
      <c r="H19" s="349"/>
      <c r="I19" s="349"/>
      <c r="J19" s="349"/>
      <c r="K19" s="349"/>
      <c r="L19" s="349"/>
      <c r="M19" s="349"/>
      <c r="N19" s="349"/>
      <c r="O19" s="349"/>
      <c r="P19" s="349"/>
      <c r="Q19" s="350"/>
      <c r="Z19" s="331"/>
      <c r="AA19" s="331"/>
      <c r="AB19" s="331"/>
      <c r="AC19" s="331"/>
    </row>
    <row r="20" customFormat="false" ht="9" hidden="false" customHeight="true" outlineLevel="0" collapsed="false">
      <c r="K20" s="351"/>
    </row>
    <row r="21" customFormat="false" ht="15" hidden="false" customHeight="true" outlineLevel="0" collapsed="false">
      <c r="F21" s="352" t="s">
        <v>382</v>
      </c>
      <c r="G21" s="352"/>
      <c r="H21" s="352"/>
      <c r="I21" s="352"/>
      <c r="J21" s="352"/>
      <c r="K21" s="352"/>
      <c r="L21" s="352"/>
      <c r="M21" s="352"/>
      <c r="N21" s="352"/>
      <c r="O21" s="352"/>
    </row>
    <row r="23" customFormat="false" ht="15" hidden="false" customHeight="true" outlineLevel="0" collapsed="false">
      <c r="B23" s="353" t="str">
        <f aca="false">"Input a temperature between -40°C and 128°C"</f>
        <v>Input a temperature between -40°C and 128°C</v>
      </c>
      <c r="C23" s="353"/>
      <c r="D23" s="353"/>
      <c r="E23" s="353"/>
      <c r="F23" s="353"/>
      <c r="G23" s="353"/>
      <c r="H23" s="353"/>
      <c r="I23" s="353"/>
      <c r="J23" s="353"/>
      <c r="K23" s="353"/>
      <c r="L23" s="353"/>
      <c r="M23" s="353"/>
      <c r="N23" s="353"/>
      <c r="O23" s="353"/>
      <c r="P23" s="353"/>
      <c r="Q23" s="353"/>
      <c r="R23" s="353"/>
      <c r="S23" s="353"/>
      <c r="T23" s="353"/>
      <c r="U23" s="353"/>
      <c r="V23" s="353"/>
      <c r="W23" s="353"/>
      <c r="X23" s="353"/>
      <c r="Y23" s="353"/>
    </row>
    <row r="24" customFormat="false" ht="15" hidden="false" customHeight="true" outlineLevel="0" collapsed="false">
      <c r="B24" s="354" t="s">
        <v>383</v>
      </c>
      <c r="C24" s="354"/>
      <c r="D24" s="354"/>
      <c r="E24" s="354"/>
      <c r="F24" s="354"/>
      <c r="G24" s="354"/>
      <c r="H24" s="354"/>
      <c r="I24" s="354"/>
      <c r="J24" s="354"/>
      <c r="K24" s="354"/>
      <c r="L24" s="354"/>
      <c r="M24" s="354"/>
      <c r="N24" s="354"/>
      <c r="O24" s="354"/>
      <c r="P24" s="354"/>
      <c r="Q24" s="354"/>
      <c r="R24" s="354"/>
      <c r="S24" s="354"/>
      <c r="T24" s="354"/>
      <c r="U24" s="354"/>
      <c r="V24" s="354"/>
      <c r="W24" s="354"/>
      <c r="X24" s="354"/>
      <c r="Y24" s="354"/>
      <c r="AD24" s="355" t="s">
        <v>384</v>
      </c>
      <c r="AE24" s="355"/>
      <c r="AF24" s="355"/>
      <c r="AG24" s="355"/>
      <c r="AH24" s="355"/>
      <c r="AI24" s="355"/>
      <c r="AJ24" s="355"/>
      <c r="AK24" s="355"/>
      <c r="AL24" s="355"/>
      <c r="AM24" s="355"/>
      <c r="AN24" s="355"/>
      <c r="AO24" s="355"/>
      <c r="AP24" s="355"/>
      <c r="AQ24" s="355"/>
      <c r="AR24" s="355"/>
      <c r="AS24" s="355"/>
      <c r="AT24" s="355"/>
      <c r="AU24" s="355"/>
      <c r="AV24" s="355"/>
      <c r="AW24" s="355"/>
    </row>
    <row r="25" customFormat="false" ht="15" hidden="false" customHeight="true" outlineLevel="0" collapsed="false">
      <c r="B25" s="356" t="n">
        <v>128</v>
      </c>
      <c r="C25" s="356"/>
      <c r="D25" s="356"/>
      <c r="E25" s="356"/>
      <c r="F25" s="356"/>
      <c r="G25" s="356"/>
      <c r="H25" s="356"/>
      <c r="I25" s="356"/>
      <c r="J25" s="356"/>
      <c r="K25" s="356"/>
      <c r="L25" s="356"/>
      <c r="M25" s="356"/>
      <c r="N25" s="356"/>
      <c r="O25" s="356"/>
      <c r="P25" s="356"/>
      <c r="Q25" s="356"/>
      <c r="R25" s="162" t="s">
        <v>370</v>
      </c>
      <c r="S25" s="162"/>
      <c r="T25" s="162"/>
      <c r="U25" s="162"/>
      <c r="V25" s="162"/>
      <c r="W25" s="162"/>
      <c r="X25" s="162"/>
      <c r="Y25" s="162"/>
      <c r="AA25" s="339" t="s">
        <v>313</v>
      </c>
      <c r="AB25" s="339"/>
      <c r="AD25" s="357" t="n">
        <f aca="false">S39</f>
        <v>4096</v>
      </c>
      <c r="AE25" s="357"/>
      <c r="AF25" s="357"/>
      <c r="AG25" s="357"/>
      <c r="AH25" s="357"/>
      <c r="AI25" s="357"/>
      <c r="AJ25" s="358" t="s">
        <v>381</v>
      </c>
      <c r="AK25" s="358"/>
      <c r="AL25" s="358"/>
      <c r="AM25" s="358"/>
      <c r="AN25" s="359" t="str">
        <f aca="false">S40</f>
        <v>1000</v>
      </c>
      <c r="AO25" s="359"/>
      <c r="AP25" s="359"/>
      <c r="AQ25" s="359"/>
      <c r="AR25" s="359"/>
      <c r="AS25" s="359"/>
      <c r="AT25" s="162" t="s">
        <v>322</v>
      </c>
      <c r="AU25" s="162"/>
      <c r="AV25" s="162"/>
      <c r="AW25" s="162"/>
    </row>
    <row r="26" customFormat="false" ht="15" hidden="false" customHeight="true" outlineLevel="0" collapsed="false">
      <c r="B26" s="356"/>
      <c r="C26" s="356"/>
      <c r="D26" s="356"/>
      <c r="E26" s="356"/>
      <c r="F26" s="356"/>
      <c r="G26" s="356"/>
      <c r="H26" s="356"/>
      <c r="I26" s="356"/>
      <c r="J26" s="356"/>
      <c r="K26" s="356"/>
      <c r="L26" s="356"/>
      <c r="M26" s="356"/>
      <c r="N26" s="356"/>
      <c r="O26" s="356"/>
      <c r="P26" s="356"/>
      <c r="Q26" s="356"/>
      <c r="R26" s="162"/>
      <c r="S26" s="162"/>
      <c r="T26" s="162"/>
      <c r="U26" s="162"/>
      <c r="V26" s="162"/>
      <c r="W26" s="162"/>
      <c r="X26" s="162"/>
      <c r="Y26" s="162"/>
      <c r="AA26" s="339"/>
      <c r="AB26" s="339"/>
      <c r="AC26" s="339"/>
      <c r="AD26" s="357"/>
      <c r="AE26" s="357"/>
      <c r="AF26" s="357"/>
      <c r="AG26" s="357"/>
      <c r="AH26" s="357"/>
      <c r="AI26" s="357"/>
      <c r="AJ26" s="358"/>
      <c r="AK26" s="358"/>
      <c r="AL26" s="358"/>
      <c r="AM26" s="358"/>
      <c r="AN26" s="359"/>
      <c r="AO26" s="359"/>
      <c r="AP26" s="359"/>
      <c r="AQ26" s="359"/>
      <c r="AR26" s="359"/>
      <c r="AS26" s="359"/>
      <c r="AT26" s="162"/>
      <c r="AU26" s="162"/>
      <c r="AV26" s="162"/>
      <c r="AW26" s="162"/>
    </row>
    <row r="27" customFormat="false" ht="15" hidden="false" customHeight="true" outlineLevel="0" collapsed="false">
      <c r="B27" s="360"/>
      <c r="C27" s="360"/>
      <c r="D27" s="360"/>
      <c r="E27" s="360"/>
      <c r="F27" s="360"/>
      <c r="G27" s="360"/>
      <c r="H27" s="360"/>
      <c r="I27" s="360"/>
      <c r="J27" s="360"/>
      <c r="K27" s="360"/>
      <c r="L27" s="360"/>
      <c r="M27" s="361"/>
      <c r="N27" s="361"/>
      <c r="O27" s="192"/>
      <c r="P27" s="192"/>
      <c r="Q27" s="192"/>
      <c r="R27" s="192"/>
      <c r="S27" s="192"/>
      <c r="T27" s="192"/>
      <c r="U27" s="192"/>
      <c r="V27" s="192"/>
      <c r="W27" s="192"/>
      <c r="X27" s="192"/>
      <c r="Y27" s="192"/>
      <c r="Z27" s="192"/>
      <c r="AA27" s="361"/>
      <c r="AB27" s="361"/>
      <c r="AC27" s="339"/>
      <c r="AD27" s="362"/>
      <c r="AE27" s="362"/>
      <c r="AF27" s="362"/>
      <c r="AG27" s="362"/>
      <c r="AH27" s="362"/>
      <c r="AI27" s="362"/>
      <c r="AJ27" s="114"/>
      <c r="AK27" s="114"/>
      <c r="AL27" s="114"/>
      <c r="AM27" s="192"/>
      <c r="AN27" s="192"/>
      <c r="AO27" s="192"/>
    </row>
    <row r="28" customFormat="false" ht="15" hidden="false" customHeight="true" outlineLevel="0" collapsed="false">
      <c r="B28" s="360"/>
      <c r="C28" s="360"/>
      <c r="D28" s="360"/>
      <c r="E28" s="360"/>
      <c r="F28" s="360"/>
      <c r="G28" s="360"/>
      <c r="H28" s="360"/>
      <c r="I28" s="360"/>
      <c r="J28" s="360"/>
      <c r="K28" s="360"/>
      <c r="L28" s="360"/>
      <c r="M28" s="361"/>
      <c r="N28" s="361"/>
      <c r="O28" s="192"/>
      <c r="P28" s="192"/>
      <c r="Q28" s="192"/>
      <c r="R28" s="192"/>
      <c r="S28" s="192"/>
      <c r="T28" s="192"/>
      <c r="U28" s="192"/>
      <c r="V28" s="192"/>
      <c r="W28" s="192"/>
      <c r="X28" s="192"/>
      <c r="Y28" s="192"/>
      <c r="Z28" s="192"/>
      <c r="AA28" s="361"/>
      <c r="AB28" s="361"/>
      <c r="AC28" s="339"/>
      <c r="AD28" s="362"/>
      <c r="AE28" s="362"/>
      <c r="AF28" s="362"/>
      <c r="AG28" s="362"/>
      <c r="AH28" s="362"/>
      <c r="AI28" s="362"/>
      <c r="AJ28" s="114"/>
      <c r="AK28" s="114"/>
      <c r="AL28" s="114"/>
      <c r="AM28" s="192"/>
      <c r="AN28" s="192"/>
      <c r="AO28" s="192"/>
    </row>
    <row r="29" customFormat="false" ht="15" hidden="false" customHeight="true" outlineLevel="0" collapsed="false">
      <c r="B29" s="360"/>
      <c r="C29" s="360"/>
      <c r="D29" s="360"/>
      <c r="E29" s="360"/>
      <c r="F29" s="360"/>
      <c r="G29" s="360"/>
      <c r="H29" s="360"/>
      <c r="I29" s="360"/>
      <c r="J29" s="360"/>
      <c r="K29" s="360"/>
      <c r="L29" s="360"/>
      <c r="M29" s="361"/>
      <c r="N29" s="361"/>
      <c r="O29" s="192"/>
      <c r="P29" s="192"/>
      <c r="Q29" s="192"/>
      <c r="R29" s="192"/>
      <c r="S29" s="192"/>
      <c r="T29" s="192"/>
      <c r="U29" s="192"/>
      <c r="V29" s="192"/>
      <c r="W29" s="192"/>
      <c r="X29" s="192"/>
      <c r="Y29" s="192"/>
      <c r="Z29" s="192"/>
      <c r="AA29" s="361"/>
      <c r="AB29" s="361"/>
      <c r="AC29" s="339"/>
      <c r="AD29" s="362"/>
      <c r="AE29" s="362"/>
      <c r="AF29" s="362"/>
      <c r="AG29" s="362"/>
      <c r="AH29" s="362"/>
      <c r="AI29" s="362"/>
      <c r="AJ29" s="114"/>
      <c r="AK29" s="114"/>
      <c r="AL29" s="114"/>
      <c r="AM29" s="192"/>
      <c r="AN29" s="192"/>
      <c r="AO29" s="192"/>
    </row>
    <row r="30" customFormat="false" ht="15" hidden="false" customHeight="true" outlineLevel="0" collapsed="false">
      <c r="B30" s="360"/>
      <c r="C30" s="360"/>
      <c r="D30" s="360"/>
      <c r="E30" s="360"/>
      <c r="F30" s="360"/>
      <c r="G30" s="360"/>
      <c r="H30" s="360"/>
      <c r="I30" s="360"/>
      <c r="J30" s="360"/>
      <c r="K30" s="360"/>
      <c r="L30" s="360"/>
      <c r="M30" s="361"/>
      <c r="N30" s="361"/>
      <c r="O30" s="192"/>
      <c r="P30" s="192"/>
      <c r="Q30" s="192"/>
      <c r="R30" s="192"/>
      <c r="S30" s="192"/>
      <c r="T30" s="192"/>
      <c r="U30" s="192"/>
      <c r="V30" s="192"/>
      <c r="W30" s="192"/>
      <c r="X30" s="192"/>
      <c r="Y30" s="192"/>
      <c r="Z30" s="192"/>
      <c r="AA30" s="361"/>
      <c r="AB30" s="361"/>
      <c r="AC30" s="339"/>
      <c r="AD30" s="362"/>
      <c r="AE30" s="362"/>
      <c r="AF30" s="362"/>
      <c r="AG30" s="362"/>
      <c r="AH30" s="362"/>
      <c r="AI30" s="362"/>
      <c r="AJ30" s="114"/>
      <c r="AK30" s="114"/>
      <c r="AL30" s="114"/>
      <c r="AM30" s="192"/>
      <c r="AN30" s="192"/>
      <c r="AO30" s="192"/>
    </row>
    <row r="31" customFormat="false" ht="15" hidden="false" customHeight="true" outlineLevel="0" collapsed="false">
      <c r="B31" s="360"/>
      <c r="C31" s="360"/>
      <c r="D31" s="360"/>
      <c r="E31" s="360"/>
      <c r="F31" s="360"/>
      <c r="G31" s="360"/>
      <c r="H31" s="360"/>
      <c r="I31" s="360"/>
      <c r="J31" s="360"/>
      <c r="K31" s="360"/>
      <c r="L31" s="360"/>
      <c r="M31" s="361"/>
      <c r="N31" s="361"/>
      <c r="O31" s="192"/>
      <c r="P31" s="192"/>
      <c r="Q31" s="192"/>
      <c r="R31" s="192"/>
      <c r="S31" s="192"/>
      <c r="T31" s="192"/>
      <c r="U31" s="192"/>
      <c r="V31" s="192"/>
      <c r="W31" s="192"/>
      <c r="X31" s="192"/>
      <c r="Y31" s="192"/>
      <c r="Z31" s="192"/>
      <c r="AA31" s="361"/>
      <c r="AB31" s="361"/>
      <c r="AC31" s="339"/>
      <c r="AD31" s="362"/>
      <c r="AE31" s="362"/>
      <c r="AF31" s="362"/>
      <c r="AG31" s="362"/>
      <c r="AH31" s="362"/>
      <c r="AI31" s="362"/>
      <c r="AJ31" s="114"/>
      <c r="AK31" s="114"/>
      <c r="AL31" s="114"/>
      <c r="AM31" s="192"/>
      <c r="AN31" s="192"/>
      <c r="AO31" s="192"/>
    </row>
    <row r="32" customFormat="false" ht="15" hidden="true" customHeight="true" outlineLevel="0" collapsed="false">
      <c r="B32" s="360"/>
      <c r="C32" s="360"/>
      <c r="D32" s="360"/>
      <c r="E32" s="360"/>
      <c r="F32" s="360"/>
      <c r="G32" s="360"/>
      <c r="H32" s="360"/>
      <c r="I32" s="360"/>
      <c r="J32" s="360"/>
      <c r="K32" s="360"/>
      <c r="L32" s="360"/>
      <c r="M32" s="361"/>
      <c r="N32" s="361"/>
      <c r="O32" s="192"/>
      <c r="P32" s="192"/>
      <c r="Q32" s="192"/>
      <c r="R32" s="192"/>
      <c r="S32" s="192"/>
      <c r="T32" s="192"/>
      <c r="U32" s="192"/>
      <c r="V32" s="192"/>
      <c r="W32" s="192"/>
      <c r="X32" s="192"/>
      <c r="Y32" s="192"/>
      <c r="Z32" s="192"/>
      <c r="AA32" s="361"/>
      <c r="AB32" s="361"/>
      <c r="AC32" s="339"/>
      <c r="AD32" s="362"/>
      <c r="AE32" s="362"/>
      <c r="AF32" s="362"/>
      <c r="AG32" s="362"/>
      <c r="AH32" s="362"/>
      <c r="AI32" s="362"/>
      <c r="AJ32" s="114"/>
      <c r="AK32" s="114"/>
      <c r="AL32" s="114"/>
      <c r="AM32" s="192"/>
      <c r="AN32" s="192"/>
      <c r="AO32" s="192"/>
    </row>
    <row r="33" customFormat="false" ht="15" hidden="true" customHeight="true" outlineLevel="0" collapsed="false"/>
    <row r="34" customFormat="false" ht="15" hidden="true" customHeight="true" outlineLevel="0" collapsed="false">
      <c r="A34" s="363" t="s">
        <v>385</v>
      </c>
      <c r="B34" s="363"/>
      <c r="C34" s="363"/>
      <c r="D34" s="363"/>
      <c r="E34" s="363"/>
      <c r="F34" s="363"/>
      <c r="G34" s="363"/>
      <c r="H34" s="363"/>
      <c r="I34" s="363"/>
      <c r="J34" s="363"/>
      <c r="K34" s="363"/>
      <c r="L34" s="363"/>
      <c r="M34" s="363"/>
      <c r="N34" s="363"/>
      <c r="O34" s="363"/>
      <c r="P34" s="363"/>
      <c r="Q34" s="363"/>
      <c r="R34" s="363"/>
      <c r="S34" s="363"/>
      <c r="T34" s="363"/>
      <c r="U34" s="363"/>
      <c r="V34" s="363"/>
      <c r="W34" s="363"/>
      <c r="X34" s="363"/>
      <c r="Y34" s="363"/>
      <c r="Z34" s="363"/>
      <c r="AA34" s="363"/>
      <c r="AB34" s="363"/>
      <c r="AC34" s="363"/>
      <c r="AD34" s="363"/>
      <c r="AE34" s="363"/>
      <c r="AF34" s="363"/>
      <c r="AG34" s="363"/>
      <c r="AH34" s="363"/>
      <c r="AI34" s="363"/>
      <c r="AJ34" s="363"/>
      <c r="AK34" s="363"/>
      <c r="AL34" s="363"/>
      <c r="AM34" s="363"/>
      <c r="AN34" s="363"/>
      <c r="AO34" s="363"/>
      <c r="AP34" s="363"/>
      <c r="AQ34" s="363"/>
      <c r="AR34" s="363"/>
      <c r="AS34" s="363"/>
      <c r="AT34" s="363"/>
      <c r="AU34" s="363"/>
      <c r="AV34" s="363"/>
      <c r="AW34" s="363"/>
    </row>
    <row r="35" customFormat="false" ht="15" hidden="true" customHeight="true" outlineLevel="0" collapsed="false"/>
    <row r="36" customFormat="false" ht="15" hidden="true" customHeight="true" outlineLevel="0" collapsed="false">
      <c r="B36" s="364" t="s">
        <v>386</v>
      </c>
      <c r="C36" s="364"/>
      <c r="D36" s="364"/>
      <c r="E36" s="364"/>
      <c r="F36" s="364"/>
      <c r="G36" s="364"/>
      <c r="H36" s="364"/>
      <c r="I36" s="364"/>
      <c r="J36" s="274" t="n">
        <f aca="false">HEX2DEC(_xlfn.CONCAT(B16:Q16))</f>
        <v>15104</v>
      </c>
      <c r="K36" s="274"/>
      <c r="N36" s="246" t="s">
        <v>387</v>
      </c>
      <c r="O36" s="246"/>
      <c r="P36" s="246" t="s">
        <v>388</v>
      </c>
      <c r="Q36" s="246"/>
      <c r="R36" s="246"/>
      <c r="S36" s="274" t="n">
        <f aca="false">IF(J46,J38,"(Invalid Code)")</f>
        <v>-1280</v>
      </c>
      <c r="T36" s="274"/>
      <c r="U36" s="274"/>
      <c r="V36" s="274"/>
      <c r="X36" s="204" t="n">
        <v>0</v>
      </c>
    </row>
    <row r="37" customFormat="false" ht="15" hidden="true" customHeight="true" outlineLevel="0" collapsed="false">
      <c r="B37" s="364" t="s">
        <v>389</v>
      </c>
      <c r="C37" s="364"/>
      <c r="D37" s="364"/>
      <c r="E37" s="364"/>
      <c r="F37" s="364"/>
      <c r="G37" s="364"/>
      <c r="H37" s="365"/>
      <c r="I37" s="365"/>
      <c r="J37" s="274" t="n">
        <f aca="false">2^13</f>
        <v>8192</v>
      </c>
      <c r="K37" s="274"/>
      <c r="N37" s="246"/>
      <c r="O37" s="246"/>
      <c r="P37" s="246" t="s">
        <v>390</v>
      </c>
      <c r="Q37" s="246"/>
      <c r="R37" s="246"/>
      <c r="S37" s="274" t="n">
        <f aca="false">IF(J46,S36*AI9,"(Invalid Code)")</f>
        <v>-40</v>
      </c>
      <c r="T37" s="274"/>
      <c r="U37" s="274"/>
      <c r="V37" s="274"/>
      <c r="X37" s="204" t="n">
        <v>1</v>
      </c>
    </row>
    <row r="38" customFormat="false" ht="15" hidden="true" customHeight="true" outlineLevel="0" collapsed="false">
      <c r="B38" s="364" t="s">
        <v>391</v>
      </c>
      <c r="C38" s="364"/>
      <c r="D38" s="364"/>
      <c r="E38" s="364"/>
      <c r="F38" s="364"/>
      <c r="G38" s="364"/>
      <c r="H38" s="364"/>
      <c r="I38" s="364"/>
      <c r="J38" s="274" t="n">
        <f aca="false">IF(J36&gt;J37,J36-2^14,J36)</f>
        <v>-1280</v>
      </c>
      <c r="K38" s="274"/>
      <c r="P38" s="366"/>
      <c r="X38" s="204" t="n">
        <v>2</v>
      </c>
    </row>
    <row r="39" customFormat="false" ht="15" hidden="true" customHeight="true" outlineLevel="0" collapsed="false">
      <c r="B39" s="316"/>
      <c r="C39" s="316"/>
      <c r="D39" s="316"/>
      <c r="E39" s="316"/>
      <c r="F39" s="316"/>
      <c r="G39" s="316"/>
      <c r="H39" s="365"/>
      <c r="I39" s="365"/>
      <c r="N39" s="246" t="s">
        <v>392</v>
      </c>
      <c r="O39" s="246"/>
      <c r="P39" s="246" t="s">
        <v>388</v>
      </c>
      <c r="Q39" s="246"/>
      <c r="R39" s="246"/>
      <c r="S39" s="274" t="n">
        <f aca="false">B25/AI9</f>
        <v>4096</v>
      </c>
      <c r="T39" s="274"/>
      <c r="U39" s="274"/>
      <c r="V39" s="274"/>
      <c r="X39" s="204" t="n">
        <v>3</v>
      </c>
    </row>
    <row r="40" customFormat="false" ht="15" hidden="true" customHeight="true" outlineLevel="0" collapsed="false">
      <c r="B40" s="364" t="s">
        <v>393</v>
      </c>
      <c r="C40" s="364"/>
      <c r="D40" s="364"/>
      <c r="E40" s="364"/>
      <c r="F40" s="364"/>
      <c r="G40" s="364"/>
      <c r="H40" s="365"/>
      <c r="I40" s="365"/>
      <c r="J40" s="274" t="s">
        <v>394</v>
      </c>
      <c r="K40" s="274"/>
      <c r="N40" s="246"/>
      <c r="O40" s="246"/>
      <c r="P40" s="246" t="s">
        <v>395</v>
      </c>
      <c r="Q40" s="246"/>
      <c r="R40" s="246"/>
      <c r="S40" s="274" t="str">
        <f aca="false">IF(B25&gt;=0, DEC2HEX(S39,4),DEC2HEX((-2^14+S39),4))</f>
        <v>1000</v>
      </c>
      <c r="T40" s="274"/>
      <c r="U40" s="274"/>
      <c r="V40" s="274"/>
      <c r="X40" s="204" t="n">
        <v>4</v>
      </c>
    </row>
    <row r="41" customFormat="false" ht="15" hidden="true" customHeight="true" outlineLevel="0" collapsed="false">
      <c r="B41" s="364" t="s">
        <v>396</v>
      </c>
      <c r="C41" s="364"/>
      <c r="D41" s="364"/>
      <c r="E41" s="364"/>
      <c r="F41" s="364"/>
      <c r="G41" s="364"/>
      <c r="H41" s="365"/>
      <c r="I41" s="365"/>
      <c r="J41" s="274" t="n">
        <f aca="false">IF(HEX2DEC(J40)&lt;HEX2DEC(2000), HEX2DEC(J40), HEX2DEC(J40)-2^14)</f>
        <v>-1280</v>
      </c>
      <c r="K41" s="274"/>
      <c r="X41" s="204" t="n">
        <v>5</v>
      </c>
    </row>
    <row r="42" customFormat="false" ht="15" hidden="true" customHeight="true" outlineLevel="0" collapsed="false">
      <c r="B42" s="364" t="s">
        <v>397</v>
      </c>
      <c r="C42" s="364"/>
      <c r="D42" s="364"/>
      <c r="E42" s="364"/>
      <c r="F42" s="364"/>
      <c r="G42" s="364"/>
      <c r="H42" s="365"/>
      <c r="I42" s="365"/>
      <c r="J42" s="274" t="n">
        <v>1000</v>
      </c>
      <c r="K42" s="274"/>
      <c r="X42" s="204" t="n">
        <v>6</v>
      </c>
    </row>
    <row r="43" customFormat="false" ht="15" hidden="true" customHeight="true" outlineLevel="0" collapsed="false">
      <c r="B43" s="364" t="s">
        <v>398</v>
      </c>
      <c r="C43" s="364"/>
      <c r="D43" s="364"/>
      <c r="E43" s="364"/>
      <c r="F43" s="364"/>
      <c r="G43" s="364"/>
      <c r="H43" s="365"/>
      <c r="I43" s="365"/>
      <c r="J43" s="274" t="n">
        <f aca="false">IF(HEX2DEC(J42)&lt;HEX2DEC(2000), HEX2DEC(J42), HEX2DEC(J42)-2^14)</f>
        <v>4096</v>
      </c>
      <c r="K43" s="274"/>
      <c r="X43" s="204" t="n">
        <v>7</v>
      </c>
    </row>
    <row r="44" customFormat="false" ht="15" hidden="true" customHeight="true" outlineLevel="0" collapsed="false">
      <c r="B44" s="316"/>
      <c r="C44" s="316"/>
      <c r="D44" s="316"/>
      <c r="E44" s="316"/>
      <c r="F44" s="316"/>
      <c r="G44" s="316"/>
      <c r="H44" s="365"/>
      <c r="I44" s="365"/>
      <c r="X44" s="204" t="n">
        <v>8</v>
      </c>
    </row>
    <row r="45" customFormat="false" ht="15" hidden="true" customHeight="true" outlineLevel="0" collapsed="false">
      <c r="B45" s="364"/>
      <c r="C45" s="364"/>
      <c r="D45" s="316"/>
      <c r="E45" s="316"/>
      <c r="F45" s="316"/>
      <c r="G45" s="316"/>
      <c r="H45" s="365"/>
      <c r="I45" s="365"/>
      <c r="J45" s="274"/>
      <c r="K45" s="274"/>
      <c r="X45" s="204" t="n">
        <v>9</v>
      </c>
    </row>
    <row r="46" customFormat="false" ht="15" hidden="true" customHeight="true" outlineLevel="0" collapsed="false">
      <c r="B46" s="364" t="s">
        <v>399</v>
      </c>
      <c r="C46" s="364"/>
      <c r="D46" s="364"/>
      <c r="E46" s="364"/>
      <c r="F46" s="364"/>
      <c r="G46" s="364"/>
      <c r="H46" s="365"/>
      <c r="I46" s="365"/>
      <c r="J46" s="367" t="b">
        <f aca="false">IFERROR(IF(AND(J38&gt;=J41,J38&lt;=J43),TRUE(),FALSE()),FALSE())</f>
        <v>1</v>
      </c>
      <c r="K46" s="367"/>
      <c r="X46" s="204" t="s">
        <v>400</v>
      </c>
    </row>
    <row r="47" customFormat="false" ht="15" hidden="true" customHeight="true" outlineLevel="0" collapsed="false">
      <c r="X47" s="204" t="s">
        <v>380</v>
      </c>
    </row>
    <row r="48" customFormat="false" ht="15" hidden="true" customHeight="true" outlineLevel="0" collapsed="false">
      <c r="B48" s="274"/>
      <c r="C48" s="274"/>
      <c r="K48" s="175"/>
      <c r="L48" s="175"/>
      <c r="M48" s="175"/>
      <c r="N48" s="175"/>
      <c r="X48" s="204" t="s">
        <v>401</v>
      </c>
    </row>
    <row r="49" customFormat="false" ht="15" hidden="true" customHeight="true" outlineLevel="0" collapsed="false">
      <c r="X49" s="204" t="s">
        <v>402</v>
      </c>
    </row>
    <row r="50" customFormat="false" ht="15" hidden="true" customHeight="true" outlineLevel="0" collapsed="false">
      <c r="B50" s="274"/>
      <c r="C50" s="274"/>
      <c r="K50" s="175"/>
      <c r="L50" s="175"/>
      <c r="M50" s="175"/>
      <c r="N50" s="175"/>
      <c r="X50" s="204" t="s">
        <v>403</v>
      </c>
    </row>
    <row r="51" customFormat="false" ht="15" hidden="true" customHeight="true" outlineLevel="0" collapsed="false">
      <c r="B51" s="274"/>
      <c r="C51" s="274"/>
      <c r="K51" s="175"/>
      <c r="L51" s="175"/>
      <c r="M51" s="175"/>
      <c r="N51" s="175"/>
      <c r="X51" s="204" t="s">
        <v>404</v>
      </c>
    </row>
    <row r="52" customFormat="false" ht="15" hidden="true" customHeight="true" outlineLevel="0" collapsed="false"/>
    <row r="53" customFormat="false" ht="15" hidden="true" customHeight="true" outlineLevel="0" collapsed="false"/>
  </sheetData>
  <sheetProtection sheet="true" objects="true" scenarios="true" selectLockedCells="true"/>
  <mergeCells count="73">
    <mergeCell ref="AZ5:BE5"/>
    <mergeCell ref="B8:Y10"/>
    <mergeCell ref="AD8:AW8"/>
    <mergeCell ref="BA8:BD8"/>
    <mergeCell ref="AD9:AH10"/>
    <mergeCell ref="AI9:AR10"/>
    <mergeCell ref="AS9:AW10"/>
    <mergeCell ref="BA9:BD9"/>
    <mergeCell ref="AY10:BD10"/>
    <mergeCell ref="AZ11:BD11"/>
    <mergeCell ref="B13:Y13"/>
    <mergeCell ref="B14:Y14"/>
    <mergeCell ref="B15:E15"/>
    <mergeCell ref="F15:I15"/>
    <mergeCell ref="J15:M15"/>
    <mergeCell ref="N15:Q15"/>
    <mergeCell ref="R15:U15"/>
    <mergeCell ref="V15:Y15"/>
    <mergeCell ref="AD15:AW15"/>
    <mergeCell ref="B16:E16"/>
    <mergeCell ref="F16:I16"/>
    <mergeCell ref="J16:M16"/>
    <mergeCell ref="N16:Q16"/>
    <mergeCell ref="R16:U16"/>
    <mergeCell ref="V16:Y16"/>
    <mergeCell ref="AA16:AB17"/>
    <mergeCell ref="AD16:AI17"/>
    <mergeCell ref="AJ16:AM17"/>
    <mergeCell ref="AN16:AS17"/>
    <mergeCell ref="AT16:AW17"/>
    <mergeCell ref="F21:O21"/>
    <mergeCell ref="B23:Y23"/>
    <mergeCell ref="B24:Y24"/>
    <mergeCell ref="AD24:AW24"/>
    <mergeCell ref="B25:Q26"/>
    <mergeCell ref="R25:Y26"/>
    <mergeCell ref="AA25:AB26"/>
    <mergeCell ref="AD25:AI26"/>
    <mergeCell ref="AJ25:AM26"/>
    <mergeCell ref="AN25:AS26"/>
    <mergeCell ref="AT25:AW26"/>
    <mergeCell ref="A34:AW34"/>
    <mergeCell ref="B36:I36"/>
    <mergeCell ref="J36:K36"/>
    <mergeCell ref="N36:O37"/>
    <mergeCell ref="P36:R36"/>
    <mergeCell ref="S36:V36"/>
    <mergeCell ref="B37:G37"/>
    <mergeCell ref="J37:K37"/>
    <mergeCell ref="P37:R37"/>
    <mergeCell ref="S37:V37"/>
    <mergeCell ref="B38:I38"/>
    <mergeCell ref="J38:K38"/>
    <mergeCell ref="N39:O40"/>
    <mergeCell ref="P39:R39"/>
    <mergeCell ref="S39:V39"/>
    <mergeCell ref="B40:G40"/>
    <mergeCell ref="J40:K40"/>
    <mergeCell ref="P40:R40"/>
    <mergeCell ref="S40:V40"/>
    <mergeCell ref="B41:G41"/>
    <mergeCell ref="J41:K41"/>
    <mergeCell ref="B42:G42"/>
    <mergeCell ref="J42:K42"/>
    <mergeCell ref="B43:G43"/>
    <mergeCell ref="J43:K43"/>
    <mergeCell ref="B45:C45"/>
    <mergeCell ref="J45:K45"/>
    <mergeCell ref="B46:G46"/>
    <mergeCell ref="J46:K46"/>
    <mergeCell ref="B48:C48"/>
    <mergeCell ref="B50:C50"/>
    <mergeCell ref="B51:C51"/>
  </mergeCells>
  <conditionalFormatting sqref="AD16 AN16 D17:Q17">
    <cfRule type="expression" priority="2" aboveAverage="0" equalAverage="0" bottom="0" percent="0" rank="0" text="" dxfId="40">
      <formula>IF($J$46,0,1)</formula>
    </cfRule>
  </conditionalFormatting>
  <dataValidations count="3">
    <dataValidation allowBlank="true" errorStyle="stop" operator="between" showDropDown="false" showErrorMessage="true" showInputMessage="true" sqref="F16:Q16" type="list">
      <formula1>$X$36:$X$51</formula1>
      <formula2>0</formula2>
    </dataValidation>
    <dataValidation allowBlank="true" errorStyle="stop" operator="between" showDropDown="false" showErrorMessage="true" showInputMessage="true" sqref="B16:E16" type="list">
      <formula1>"0,1,2,3"</formula1>
      <formula2>0</formula2>
    </dataValidation>
    <dataValidation allowBlank="true" error="Value must be between -40°C and 128°C" errorStyle="stop" errorTitle="Temperature" operator="between" prompt="Input a value between -40C and 128C" promptTitle="Temperature" showDropDown="false" showErrorMessage="true" showInputMessage="false" sqref="B25" type="decimal">
      <formula1>-40</formula1>
      <formula2>128</formula2>
    </dataValidation>
  </dataValidations>
  <hyperlinks>
    <hyperlink ref="AZ5"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false" showRowColHeaders="false" showZeros="true" rightToLeft="false" tabSelected="false" showOutlineSymbols="true" defaultGridColor="true" view="normal" topLeftCell="A1" colorId="64" zoomScale="75" zoomScaleNormal="75" zoomScalePageLayoutView="100" workbookViewId="0">
      <selection pane="topLeft" activeCell="C9" activeCellId="0" sqref="C9"/>
    </sheetView>
  </sheetViews>
  <sheetFormatPr defaultColWidth="9.1484375" defaultRowHeight="15" customHeight="true" zeroHeight="false" outlineLevelRow="0" outlineLevelCol="0"/>
  <cols>
    <col collapsed="false" customWidth="false" hidden="false" outlineLevel="0" max="1" min="1" style="175" width="9.14"/>
    <col collapsed="false" customWidth="true" hidden="false" outlineLevel="0" max="2" min="2" style="175" width="35.71"/>
    <col collapsed="false" customWidth="true" hidden="false" outlineLevel="0" max="3" min="3" style="175" width="7.42"/>
    <col collapsed="false" customWidth="true" hidden="false" outlineLevel="0" max="4" min="4" style="175" width="15.85"/>
    <col collapsed="false" customWidth="true" hidden="false" outlineLevel="0" max="5" min="5" style="175" width="31.71"/>
    <col collapsed="false" customWidth="true" hidden="false" outlineLevel="0" max="8" min="6" style="175" width="11"/>
    <col collapsed="false" customWidth="true" hidden="false" outlineLevel="0" max="9" min="9" style="175" width="21.43"/>
    <col collapsed="false" customWidth="true" hidden="false" outlineLevel="0" max="10" min="10" style="175" width="35.71"/>
    <col collapsed="false" customWidth="true" hidden="false" outlineLevel="0" max="11" min="11" style="175" width="13.71"/>
    <col collapsed="false" customWidth="true" hidden="false" outlineLevel="0" max="12" min="12" style="177" width="24"/>
    <col collapsed="false" customWidth="false" hidden="false" outlineLevel="0" max="13" min="13" style="177" width="9.14"/>
    <col collapsed="false" customWidth="false" hidden="false" outlineLevel="0" max="16384" min="14" style="175" width="9.14"/>
  </cols>
  <sheetData>
    <row r="1" customFormat="false" ht="15" hidden="false" customHeight="true" outlineLevel="0" collapsed="false">
      <c r="A1" s="99"/>
      <c r="B1" s="99"/>
      <c r="C1" s="99"/>
      <c r="D1" s="99"/>
      <c r="E1" s="99"/>
      <c r="F1" s="99"/>
      <c r="G1" s="99"/>
      <c r="H1" s="99"/>
      <c r="I1" s="99"/>
      <c r="J1" s="99"/>
      <c r="K1" s="99"/>
      <c r="L1" s="98"/>
    </row>
    <row r="2" customFormat="false" ht="15" hidden="false" customHeight="true" outlineLevel="0" collapsed="false">
      <c r="A2" s="99"/>
      <c r="B2" s="99"/>
      <c r="C2" s="99"/>
      <c r="D2" s="99"/>
      <c r="E2" s="99"/>
      <c r="F2" s="99"/>
      <c r="G2" s="99"/>
      <c r="H2" s="99"/>
      <c r="I2" s="99"/>
      <c r="J2" s="99"/>
      <c r="K2" s="99"/>
      <c r="L2" s="98"/>
    </row>
    <row r="3" customFormat="false" ht="15" hidden="false" customHeight="true" outlineLevel="0" collapsed="false">
      <c r="A3" s="99"/>
      <c r="B3" s="99"/>
      <c r="C3" s="99"/>
      <c r="D3" s="99"/>
      <c r="E3" s="99"/>
      <c r="F3" s="99"/>
      <c r="G3" s="99"/>
      <c r="H3" s="99"/>
      <c r="I3" s="99"/>
      <c r="J3" s="99"/>
      <c r="K3" s="99"/>
      <c r="L3" s="98"/>
    </row>
    <row r="4" customFormat="false" ht="15" hidden="false" customHeight="true" outlineLevel="0" collapsed="false">
      <c r="A4" s="100"/>
      <c r="B4" s="100"/>
      <c r="C4" s="100"/>
      <c r="D4" s="100"/>
      <c r="E4" s="100"/>
      <c r="F4" s="100"/>
      <c r="G4" s="100"/>
      <c r="H4" s="100"/>
      <c r="I4" s="100"/>
      <c r="J4" s="100"/>
      <c r="K4" s="100"/>
      <c r="L4" s="41"/>
    </row>
    <row r="5" s="175" customFormat="true" ht="15" hidden="false" customHeight="true" outlineLevel="0" collapsed="false">
      <c r="A5" s="25"/>
      <c r="B5" s="25"/>
      <c r="C5" s="25"/>
      <c r="D5" s="25"/>
      <c r="E5" s="25"/>
      <c r="F5" s="25"/>
      <c r="G5" s="41"/>
      <c r="H5" s="98"/>
      <c r="I5" s="368"/>
      <c r="J5" s="26" t="s">
        <v>16</v>
      </c>
      <c r="K5" s="26"/>
      <c r="L5" s="98"/>
    </row>
    <row r="6" s="175" customFormat="true" ht="15" hidden="false" customHeight="true" outlineLevel="0" collapsed="false">
      <c r="A6" s="25"/>
      <c r="B6" s="25"/>
      <c r="C6" s="25"/>
      <c r="D6" s="25"/>
      <c r="E6" s="25"/>
      <c r="F6" s="25"/>
      <c r="G6" s="41"/>
      <c r="H6" s="98"/>
      <c r="I6" s="79"/>
      <c r="J6" s="79"/>
      <c r="K6" s="79"/>
      <c r="L6" s="98"/>
    </row>
    <row r="7" customFormat="false" ht="15" hidden="false" customHeight="true" outlineLevel="0" collapsed="false">
      <c r="A7" s="25"/>
      <c r="B7" s="25"/>
      <c r="C7" s="25"/>
      <c r="D7" s="25"/>
      <c r="E7" s="25"/>
      <c r="F7" s="369"/>
      <c r="G7" s="369"/>
      <c r="H7" s="369"/>
      <c r="I7" s="42"/>
      <c r="J7" s="79"/>
      <c r="K7" s="28" t="s">
        <v>17</v>
      </c>
      <c r="L7" s="25"/>
    </row>
    <row r="8" customFormat="false" ht="15" hidden="false" customHeight="true" outlineLevel="0" collapsed="false">
      <c r="B8" s="370" t="s">
        <v>405</v>
      </c>
      <c r="C8" s="370"/>
      <c r="E8" s="370" t="s">
        <v>406</v>
      </c>
      <c r="F8" s="370"/>
      <c r="G8" s="370"/>
      <c r="I8" s="42"/>
      <c r="J8" s="29" t="s">
        <v>18</v>
      </c>
      <c r="K8" s="30" t="s">
        <v>19</v>
      </c>
      <c r="L8" s="25"/>
    </row>
    <row r="9" customFormat="false" ht="15" hidden="false" customHeight="true" outlineLevel="0" collapsed="false">
      <c r="B9" s="371" t="s">
        <v>407</v>
      </c>
      <c r="C9" s="372" t="n">
        <v>0</v>
      </c>
      <c r="D9" s="294" t="s">
        <v>313</v>
      </c>
      <c r="E9" s="373" t="s">
        <v>408</v>
      </c>
      <c r="F9" s="374" t="str">
        <f aca="false">DEC2BIN(C9, 2)</f>
        <v>00</v>
      </c>
      <c r="G9" s="374"/>
      <c r="I9" s="42"/>
      <c r="J9" s="29" t="s">
        <v>20</v>
      </c>
      <c r="K9" s="31" t="s">
        <v>19</v>
      </c>
      <c r="L9" s="25"/>
    </row>
    <row r="10" customFormat="false" ht="15" hidden="false" customHeight="true" outlineLevel="0" collapsed="false">
      <c r="B10" s="375" t="s">
        <v>409</v>
      </c>
      <c r="C10" s="376" t="n">
        <v>1</v>
      </c>
      <c r="D10" s="294" t="s">
        <v>313</v>
      </c>
      <c r="E10" s="377" t="s">
        <v>410</v>
      </c>
      <c r="F10" s="378" t="str">
        <f aca="false">DEC2BIN(C10-1, 2)</f>
        <v>00</v>
      </c>
      <c r="G10" s="378"/>
      <c r="I10" s="369"/>
      <c r="J10" s="369"/>
      <c r="K10" s="369"/>
      <c r="L10" s="25"/>
    </row>
    <row r="11" customFormat="false" ht="15" hidden="false" customHeight="true" outlineLevel="0" collapsed="false">
      <c r="B11" s="204"/>
      <c r="C11" s="204"/>
      <c r="D11" s="204"/>
      <c r="E11" s="204"/>
      <c r="I11" s="369"/>
      <c r="J11" s="369"/>
      <c r="K11" s="369"/>
      <c r="L11" s="25"/>
    </row>
    <row r="12" customFormat="false" ht="15" hidden="false" customHeight="true" outlineLevel="0" collapsed="false">
      <c r="A12" s="25"/>
      <c r="B12" s="379" t="s">
        <v>411</v>
      </c>
      <c r="C12" s="370" t="s">
        <v>1</v>
      </c>
      <c r="D12" s="370"/>
      <c r="E12" s="370"/>
      <c r="F12" s="380" t="s">
        <v>412</v>
      </c>
      <c r="G12" s="380"/>
      <c r="I12" s="369"/>
      <c r="J12" s="369"/>
      <c r="K12" s="369"/>
      <c r="L12" s="25"/>
    </row>
    <row r="13" customFormat="false" ht="15" hidden="false" customHeight="true" outlineLevel="0" collapsed="false">
      <c r="A13" s="25"/>
      <c r="B13" s="381" t="s">
        <v>413</v>
      </c>
      <c r="C13" s="382" t="s">
        <v>414</v>
      </c>
      <c r="D13" s="382"/>
      <c r="E13" s="382"/>
      <c r="F13" s="383" t="s">
        <v>415</v>
      </c>
      <c r="G13" s="128" t="str">
        <f aca="false">_xlfn.CONCAT(F9,F10)</f>
        <v>0000</v>
      </c>
      <c r="H13" s="384"/>
      <c r="I13" s="384"/>
      <c r="J13" s="384"/>
      <c r="K13" s="384"/>
      <c r="L13" s="178"/>
    </row>
    <row r="14" customFormat="false" ht="15" hidden="false" customHeight="true" outlineLevel="0" collapsed="false">
      <c r="A14" s="38"/>
      <c r="B14" s="385" t="s">
        <v>416</v>
      </c>
      <c r="C14" s="386" t="s">
        <v>417</v>
      </c>
      <c r="D14" s="386"/>
      <c r="E14" s="386"/>
      <c r="F14" s="387" t="s">
        <v>418</v>
      </c>
      <c r="G14" s="388" t="str">
        <f aca="false">G13</f>
        <v>0000</v>
      </c>
      <c r="L14" s="180"/>
    </row>
    <row r="15" customFormat="false" ht="15" hidden="false" customHeight="true" outlineLevel="0" collapsed="false">
      <c r="A15" s="41"/>
      <c r="B15" s="385" t="s">
        <v>419</v>
      </c>
      <c r="C15" s="386" t="s">
        <v>420</v>
      </c>
      <c r="D15" s="386"/>
      <c r="E15" s="386"/>
      <c r="F15" s="387" t="s">
        <v>421</v>
      </c>
      <c r="G15" s="389" t="s">
        <v>422</v>
      </c>
      <c r="I15" s="177"/>
      <c r="J15" s="177"/>
      <c r="K15" s="177"/>
    </row>
    <row r="16" customFormat="false" ht="15" hidden="false" customHeight="true" outlineLevel="0" collapsed="false">
      <c r="B16" s="385" t="s">
        <v>423</v>
      </c>
      <c r="C16" s="386" t="s">
        <v>424</v>
      </c>
      <c r="D16" s="386"/>
      <c r="E16" s="386"/>
      <c r="F16" s="387" t="s">
        <v>421</v>
      </c>
      <c r="G16" s="389" t="s">
        <v>425</v>
      </c>
      <c r="M16" s="175"/>
    </row>
    <row r="17" s="310" customFormat="true" ht="15" hidden="false" customHeight="true" outlineLevel="0" collapsed="false">
      <c r="B17" s="385" t="s">
        <v>426</v>
      </c>
      <c r="C17" s="386" t="s">
        <v>427</v>
      </c>
      <c r="D17" s="386"/>
      <c r="E17" s="386"/>
      <c r="F17" s="387" t="s">
        <v>421</v>
      </c>
      <c r="G17" s="389" t="s">
        <v>428</v>
      </c>
      <c r="I17" s="175"/>
      <c r="J17" s="175"/>
      <c r="K17" s="175"/>
    </row>
    <row r="18" s="175" customFormat="true" ht="15" hidden="false" customHeight="true" outlineLevel="0" collapsed="false">
      <c r="B18" s="390" t="s">
        <v>429</v>
      </c>
      <c r="C18" s="391" t="s">
        <v>430</v>
      </c>
      <c r="D18" s="391"/>
      <c r="E18" s="391"/>
      <c r="F18" s="392" t="s">
        <v>431</v>
      </c>
      <c r="G18" s="393" t="s">
        <v>432</v>
      </c>
      <c r="L18" s="307"/>
    </row>
    <row r="19" customFormat="false" ht="15" hidden="false" customHeight="true" outlineLevel="0" collapsed="false">
      <c r="M19" s="175"/>
    </row>
    <row r="20" customFormat="false" ht="15" hidden="false" customHeight="true" outlineLevel="0" collapsed="false">
      <c r="B20" s="303" t="s">
        <v>326</v>
      </c>
      <c r="M20" s="175"/>
    </row>
    <row r="21" customFormat="false" ht="15" hidden="false" customHeight="true" outlineLevel="0" collapsed="false">
      <c r="B21" s="394" t="s">
        <v>433</v>
      </c>
      <c r="M21" s="175"/>
    </row>
    <row r="22" customFormat="false" ht="15" hidden="false" customHeight="true" outlineLevel="0" collapsed="false">
      <c r="M22" s="175"/>
    </row>
    <row r="23" s="175" customFormat="true" ht="15" hidden="false" customHeight="true" outlineLevel="0" collapsed="false"/>
    <row r="24" s="175" customFormat="true" ht="15" hidden="false" customHeight="true" outlineLevel="0" collapsed="false">
      <c r="A24" s="177"/>
    </row>
    <row r="25" s="175" customFormat="true" ht="15" hidden="false" customHeight="true" outlineLevel="0" collapsed="false">
      <c r="A25" s="177"/>
    </row>
    <row r="26" s="175" customFormat="true" ht="15" hidden="false" customHeight="true" outlineLevel="0" collapsed="false">
      <c r="A26" s="177"/>
    </row>
    <row r="27" s="175" customFormat="true" ht="15" hidden="false" customHeight="true" outlineLevel="0" collapsed="false">
      <c r="A27" s="177"/>
    </row>
    <row r="28" s="175" customFormat="true" ht="15" hidden="false" customHeight="true" outlineLevel="0" collapsed="false">
      <c r="A28" s="177"/>
    </row>
    <row r="29" s="175" customFormat="true" ht="15" hidden="false" customHeight="true" outlineLevel="0" collapsed="false"/>
    <row r="30" s="175" customFormat="true" ht="15" hidden="false" customHeight="true" outlineLevel="0" collapsed="false"/>
    <row r="31" s="175" customFormat="true" ht="15" hidden="false" customHeight="true" outlineLevel="0" collapsed="false">
      <c r="D31" s="395"/>
      <c r="E31" s="310"/>
      <c r="H31" s="177"/>
      <c r="I31" s="177"/>
      <c r="J31" s="177"/>
      <c r="K31" s="177"/>
    </row>
    <row r="32" customFormat="false" ht="15" hidden="false" customHeight="true" outlineLevel="0" collapsed="false">
      <c r="D32" s="395"/>
      <c r="E32" s="310"/>
    </row>
    <row r="39" customFormat="false" ht="15" hidden="false" customHeight="true" outlineLevel="0" collapsed="false">
      <c r="L39" s="395"/>
      <c r="M39" s="310"/>
    </row>
    <row r="40" customFormat="false" ht="15" hidden="false" customHeight="true" outlineLevel="0" collapsed="false">
      <c r="L40" s="395"/>
      <c r="M40" s="310"/>
    </row>
    <row r="41" customFormat="false" ht="15" hidden="false" customHeight="true" outlineLevel="0" collapsed="false">
      <c r="L41" s="395"/>
      <c r="M41" s="310"/>
    </row>
    <row r="42" s="175" customFormat="true" ht="15" hidden="false" customHeight="true" outlineLevel="0" collapsed="false">
      <c r="L42" s="395"/>
    </row>
    <row r="43" s="175" customFormat="true" ht="15" hidden="false" customHeight="true" outlineLevel="0" collapsed="false">
      <c r="L43" s="395"/>
    </row>
    <row r="44" s="175" customFormat="true" ht="15" hidden="false" customHeight="true" outlineLevel="0" collapsed="false">
      <c r="L44" s="395"/>
    </row>
    <row r="45" s="175" customFormat="true" ht="15" hidden="false" customHeight="true" outlineLevel="0" collapsed="false">
      <c r="L45" s="395"/>
    </row>
    <row r="46" s="175" customFormat="true" ht="15" hidden="false" customHeight="true" outlineLevel="0" collapsed="false">
      <c r="L46" s="395"/>
    </row>
    <row r="47" s="175" customFormat="true" ht="15" hidden="false" customHeight="true" outlineLevel="0" collapsed="false">
      <c r="L47" s="395"/>
    </row>
    <row r="48" s="175" customFormat="true" ht="15" hidden="false" customHeight="true" outlineLevel="0" collapsed="false">
      <c r="L48" s="395"/>
    </row>
    <row r="49" s="175" customFormat="true" ht="15" hidden="false" customHeight="true" outlineLevel="0" collapsed="false">
      <c r="L49" s="395"/>
    </row>
    <row r="50" s="175" customFormat="true" ht="15" hidden="false" customHeight="true" outlineLevel="0" collapsed="false">
      <c r="L50" s="395"/>
    </row>
    <row r="51" s="175" customFormat="true" ht="15" hidden="false" customHeight="true" outlineLevel="0" collapsed="false">
      <c r="L51" s="395"/>
    </row>
    <row r="52" s="175" customFormat="true" ht="15" hidden="false" customHeight="true" outlineLevel="0" collapsed="false">
      <c r="L52" s="395"/>
    </row>
    <row r="53" s="175" customFormat="true" ht="15" hidden="false" customHeight="true" outlineLevel="0" collapsed="false">
      <c r="L53" s="395"/>
    </row>
    <row r="54" s="175" customFormat="true" ht="15" hidden="false" customHeight="true" outlineLevel="0" collapsed="false">
      <c r="L54" s="395"/>
    </row>
  </sheetData>
  <sheetProtection sheet="true" objects="true" scenarios="true" selectLockedCells="true"/>
  <mergeCells count="15">
    <mergeCell ref="A1:K3"/>
    <mergeCell ref="A4:K4"/>
    <mergeCell ref="J5:K5"/>
    <mergeCell ref="B8:C8"/>
    <mergeCell ref="E8:G8"/>
    <mergeCell ref="F9:G9"/>
    <mergeCell ref="F10:G10"/>
    <mergeCell ref="C12:E12"/>
    <mergeCell ref="F12:G12"/>
    <mergeCell ref="C13:E13"/>
    <mergeCell ref="C14:E14"/>
    <mergeCell ref="C15:E15"/>
    <mergeCell ref="C16:E16"/>
    <mergeCell ref="C17:E17"/>
    <mergeCell ref="C18:E18"/>
  </mergeCells>
  <conditionalFormatting sqref="G14">
    <cfRule type="cellIs" priority="2" operator="equal" aboveAverage="0" equalAverage="0" bottom="0" percent="0" rank="0" text="" dxfId="41">
      <formula>1</formula>
    </cfRule>
  </conditionalFormatting>
  <conditionalFormatting sqref="G13">
    <cfRule type="expression" priority="3" aboveAverage="0" equalAverage="0" bottom="0" percent="0" rank="0" text="" dxfId="42">
      <formula>IF(OR(G14,#ref!,#ref!),1,0)</formula>
    </cfRule>
  </conditionalFormatting>
  <conditionalFormatting sqref="C13:C18">
    <cfRule type="expression" priority="4" aboveAverage="0" equalAverage="0" bottom="0" percent="0" rank="0" text="" dxfId="43">
      <formula>IF(OR($C$14,#ref!,#ref!,#ref!),1,0)</formula>
    </cfRule>
  </conditionalFormatting>
  <dataValidations count="2">
    <dataValidation allowBlank="true" errorStyle="stop" operator="between" showDropDown="false" showErrorMessage="true" showInputMessage="true" sqref="C10" type="list">
      <formula1>"1,2,3,4"</formula1>
      <formula2>0</formula2>
    </dataValidation>
    <dataValidation allowBlank="true" errorStyle="stop" operator="between" showDropDown="false" showErrorMessage="true" showInputMessage="true" sqref="C9" type="list">
      <formula1>"0,1,2,3"</formula1>
      <formula2>0</formula2>
    </dataValidation>
  </dataValidations>
  <hyperlinks>
    <hyperlink ref="J5"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4"/>
  <sheetViews>
    <sheetView showFormulas="false" showGridLines="false" showRowColHeaders="false" showZeros="true" rightToLeft="false" tabSelected="false" showOutlineSymbols="true" defaultGridColor="true" view="normal" topLeftCell="A1" colorId="64" zoomScale="75" zoomScaleNormal="75" zoomScalePageLayoutView="100" workbookViewId="0">
      <selection pane="topLeft" activeCell="E2" activeCellId="0" sqref="E2"/>
    </sheetView>
  </sheetViews>
  <sheetFormatPr defaultColWidth="9.1484375" defaultRowHeight="15" customHeight="true" zeroHeight="false" outlineLevelRow="0" outlineLevelCol="0"/>
  <cols>
    <col collapsed="false" customWidth="true" hidden="false" outlineLevel="0" max="1" min="1" style="396" width="25.71"/>
    <col collapsed="false" customWidth="true" hidden="false" outlineLevel="0" max="2" min="2" style="397" width="56.57"/>
    <col collapsed="false" customWidth="false" hidden="false" outlineLevel="0" max="10" min="3" style="398" width="9.14"/>
    <col collapsed="false" customWidth="true" hidden="false" outlineLevel="0" max="11" min="11" style="398" width="14.42"/>
    <col collapsed="false" customWidth="true" hidden="false" outlineLevel="0" max="12" min="12" style="398" width="33.86"/>
    <col collapsed="false" customWidth="false" hidden="false" outlineLevel="0" max="16384" min="13" style="398" width="9.14"/>
  </cols>
  <sheetData>
    <row r="1" customFormat="false" ht="15" hidden="false" customHeight="true" outlineLevel="0" collapsed="false">
      <c r="A1" s="399"/>
      <c r="B1" s="399"/>
      <c r="C1" s="399"/>
      <c r="D1" s="399"/>
      <c r="E1" s="399"/>
      <c r="F1" s="399"/>
      <c r="G1" s="399"/>
      <c r="H1" s="399"/>
      <c r="I1" s="399"/>
      <c r="J1" s="399"/>
      <c r="K1" s="399"/>
      <c r="L1" s="399"/>
    </row>
    <row r="2" customFormat="false" ht="15" hidden="false" customHeight="true" outlineLevel="0" collapsed="false">
      <c r="A2" s="399"/>
      <c r="B2" s="399"/>
      <c r="C2" s="399"/>
      <c r="D2" s="399"/>
      <c r="E2" s="400" t="s">
        <v>434</v>
      </c>
      <c r="F2" s="400"/>
      <c r="G2" s="400"/>
      <c r="H2" s="400"/>
      <c r="I2" s="400"/>
      <c r="J2" s="400"/>
      <c r="K2" s="400"/>
      <c r="L2" s="399"/>
    </row>
    <row r="3" customFormat="false" ht="15" hidden="false" customHeight="true" outlineLevel="0" collapsed="false">
      <c r="A3" s="399"/>
      <c r="B3" s="399"/>
      <c r="C3" s="399"/>
      <c r="D3" s="399"/>
      <c r="E3" s="399"/>
      <c r="F3" s="399"/>
      <c r="G3" s="399"/>
      <c r="H3" s="399"/>
      <c r="I3" s="399"/>
      <c r="J3" s="399"/>
      <c r="K3" s="399"/>
      <c r="L3" s="399"/>
    </row>
    <row r="4" customFormat="false" ht="15" hidden="false" customHeight="true" outlineLevel="0" collapsed="false">
      <c r="A4" s="401"/>
      <c r="B4" s="401"/>
      <c r="C4" s="401"/>
      <c r="D4" s="401"/>
      <c r="E4" s="401"/>
      <c r="F4" s="401"/>
      <c r="G4" s="401"/>
      <c r="H4" s="401"/>
      <c r="I4" s="401"/>
      <c r="J4" s="401"/>
      <c r="K4" s="401"/>
      <c r="L4" s="401"/>
    </row>
    <row r="5" customFormat="false" ht="15" hidden="false" customHeight="true" outlineLevel="0" collapsed="false">
      <c r="A5" s="402" t="s">
        <v>435</v>
      </c>
      <c r="B5" s="403" t="s">
        <v>436</v>
      </c>
      <c r="C5" s="404"/>
      <c r="D5" s="404"/>
      <c r="E5" s="404"/>
      <c r="F5" s="404"/>
      <c r="G5" s="404"/>
      <c r="H5" s="404"/>
      <c r="I5" s="404"/>
      <c r="J5" s="404"/>
      <c r="K5" s="25"/>
      <c r="L5" s="26" t="s">
        <v>16</v>
      </c>
    </row>
    <row r="6" customFormat="false" ht="15" hidden="false" customHeight="true" outlineLevel="0" collapsed="false">
      <c r="A6" s="402" t="s">
        <v>437</v>
      </c>
      <c r="B6" s="403" t="s">
        <v>438</v>
      </c>
      <c r="C6" s="404"/>
      <c r="D6" s="404"/>
      <c r="E6" s="404"/>
      <c r="F6" s="404"/>
      <c r="G6" s="404"/>
      <c r="H6" s="404"/>
      <c r="I6" s="404"/>
      <c r="J6" s="37"/>
      <c r="K6" s="37"/>
      <c r="L6" s="37"/>
    </row>
    <row r="33" customFormat="false" ht="15" hidden="false" customHeight="true" outlineLevel="0" collapsed="false">
      <c r="B33" s="14"/>
    </row>
    <row r="34" customFormat="false" ht="15" hidden="false" customHeight="true" outlineLevel="0" collapsed="false">
      <c r="B34" s="14"/>
    </row>
    <row r="35" customFormat="false" ht="15" hidden="false" customHeight="true" outlineLevel="0" collapsed="false">
      <c r="A35" s="405" t="s">
        <v>439</v>
      </c>
      <c r="B35" s="406"/>
      <c r="C35" s="404"/>
      <c r="D35" s="404"/>
      <c r="E35" s="404"/>
      <c r="F35" s="404"/>
      <c r="G35" s="404"/>
      <c r="H35" s="404"/>
      <c r="I35" s="404"/>
      <c r="J35" s="404"/>
      <c r="K35" s="404"/>
    </row>
    <row r="36" customFormat="false" ht="15" hidden="false" customHeight="true" outlineLevel="0" collapsed="false">
      <c r="A36" s="407" t="s">
        <v>440</v>
      </c>
      <c r="B36" s="408" t="s">
        <v>441</v>
      </c>
      <c r="C36" s="408"/>
      <c r="D36" s="408"/>
      <c r="E36" s="408"/>
      <c r="F36" s="408"/>
      <c r="G36" s="408"/>
      <c r="H36" s="408"/>
      <c r="I36" s="408"/>
      <c r="J36" s="408"/>
      <c r="K36" s="408"/>
    </row>
    <row r="37" customFormat="false" ht="15" hidden="false" customHeight="true" outlineLevel="0" collapsed="false">
      <c r="A37" s="405" t="s">
        <v>436</v>
      </c>
      <c r="B37" s="409" t="s">
        <v>442</v>
      </c>
      <c r="C37" s="409"/>
      <c r="D37" s="409"/>
      <c r="E37" s="409"/>
      <c r="F37" s="409"/>
      <c r="G37" s="409"/>
      <c r="H37" s="409"/>
      <c r="I37" s="409"/>
      <c r="J37" s="409"/>
      <c r="K37" s="409"/>
    </row>
    <row r="38" customFormat="false" ht="15" hidden="false" customHeight="true" outlineLevel="0" collapsed="false">
      <c r="A38" s="405"/>
      <c r="B38" s="410"/>
      <c r="C38" s="410"/>
      <c r="D38" s="410"/>
      <c r="E38" s="410"/>
      <c r="F38" s="410"/>
      <c r="G38" s="410"/>
      <c r="H38" s="410"/>
      <c r="I38" s="410"/>
      <c r="J38" s="410"/>
      <c r="K38" s="410"/>
    </row>
    <row r="39" customFormat="false" ht="15" hidden="false" customHeight="true" outlineLevel="0" collapsed="false">
      <c r="A39" s="405"/>
      <c r="B39" s="410"/>
      <c r="C39" s="410"/>
      <c r="D39" s="410"/>
      <c r="E39" s="410"/>
      <c r="F39" s="410"/>
      <c r="G39" s="410"/>
      <c r="H39" s="410"/>
      <c r="I39" s="410"/>
      <c r="J39" s="410"/>
      <c r="K39" s="410"/>
    </row>
    <row r="40" customFormat="false" ht="15" hidden="false" customHeight="true" outlineLevel="0" collapsed="false">
      <c r="B40" s="411"/>
      <c r="C40" s="411"/>
      <c r="D40" s="411"/>
      <c r="E40" s="411"/>
      <c r="F40" s="411"/>
      <c r="G40" s="411"/>
      <c r="H40" s="411"/>
      <c r="I40" s="411"/>
      <c r="J40" s="411"/>
      <c r="K40" s="411"/>
    </row>
    <row r="44" s="12" customFormat="true" ht="15" hidden="false" customHeight="true" outlineLevel="0" collapsed="false">
      <c r="A44" s="396"/>
      <c r="B44" s="14"/>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row>
  </sheetData>
  <sheetProtection sheet="true" objects="true" scenarios="true" selectLockedCells="true"/>
  <mergeCells count="7">
    <mergeCell ref="E2:K2"/>
    <mergeCell ref="A4:L4"/>
    <mergeCell ref="B36:K36"/>
    <mergeCell ref="B37:K37"/>
    <mergeCell ref="B38:K38"/>
    <mergeCell ref="B39:K39"/>
    <mergeCell ref="B40:K40"/>
  </mergeCells>
  <hyperlinks>
    <hyperlink ref="E2" r:id="rId1" display="© Copyright 2022 Texas Instruments Incorporated. All rights reserved."/>
    <hyperlink ref="L5"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
  <sheetViews>
    <sheetView showFormulas="false" showGridLines="false" showRowColHeaders="false" showZeros="true" rightToLeft="false" tabSelected="false" showOutlineSymbols="true" defaultGridColor="true" view="normal" topLeftCell="A1" colorId="64" zoomScale="75" zoomScaleNormal="75" zoomScalePageLayoutView="100" workbookViewId="0">
      <selection pane="topLeft" activeCell="E11" activeCellId="0" sqref="E11"/>
    </sheetView>
  </sheetViews>
  <sheetFormatPr defaultColWidth="9.1484375" defaultRowHeight="15" customHeight="true" zeroHeight="false" outlineLevelRow="0" outlineLevelCol="0"/>
  <cols>
    <col collapsed="false" customWidth="false" hidden="false" outlineLevel="0" max="2" min="1" style="2" width="9.14"/>
    <col collapsed="false" customWidth="true" hidden="false" outlineLevel="0" max="3" min="3" style="2" width="7.86"/>
    <col collapsed="false" customWidth="true" hidden="false" outlineLevel="0" max="4" min="4" style="2" width="6.57"/>
    <col collapsed="false" customWidth="false" hidden="false" outlineLevel="0" max="17" min="5" style="2" width="9.14"/>
    <col collapsed="false" customWidth="true" hidden="false" outlineLevel="0" max="18" min="18" style="2" width="52.14"/>
    <col collapsed="false" customWidth="false" hidden="false" outlineLevel="0" max="16384" min="19" style="2" width="9.14"/>
  </cols>
  <sheetData>
    <row r="1" customFormat="false" ht="15" hidden="false" customHeight="true" outlineLevel="0" collapsed="false">
      <c r="A1" s="412"/>
      <c r="B1" s="412"/>
      <c r="C1" s="412"/>
      <c r="D1" s="412"/>
      <c r="E1" s="412"/>
      <c r="F1" s="412"/>
      <c r="G1" s="412"/>
      <c r="H1" s="412"/>
      <c r="I1" s="412"/>
      <c r="J1" s="412"/>
      <c r="K1" s="412"/>
      <c r="L1" s="412"/>
      <c r="M1" s="412"/>
      <c r="N1" s="412"/>
      <c r="O1" s="412"/>
      <c r="P1" s="412"/>
      <c r="Q1" s="412"/>
      <c r="R1" s="412"/>
    </row>
    <row r="2" customFormat="false" ht="15" hidden="false" customHeight="true" outlineLevel="0" collapsed="false">
      <c r="A2" s="412"/>
      <c r="B2" s="412"/>
      <c r="C2" s="412"/>
      <c r="D2" s="412"/>
      <c r="E2" s="412"/>
      <c r="F2" s="412"/>
      <c r="G2" s="412"/>
      <c r="H2" s="412"/>
      <c r="I2" s="412"/>
      <c r="J2" s="412"/>
      <c r="K2" s="412"/>
      <c r="L2" s="412"/>
      <c r="M2" s="412"/>
      <c r="N2" s="412"/>
      <c r="O2" s="412"/>
      <c r="P2" s="412"/>
      <c r="Q2" s="412"/>
      <c r="R2" s="412"/>
    </row>
    <row r="3" customFormat="false" ht="15" hidden="false" customHeight="true" outlineLevel="0" collapsed="false">
      <c r="A3" s="412"/>
      <c r="B3" s="412"/>
      <c r="C3" s="412"/>
      <c r="D3" s="412"/>
      <c r="E3" s="412"/>
      <c r="F3" s="412"/>
      <c r="G3" s="412"/>
      <c r="H3" s="412"/>
      <c r="I3" s="412"/>
      <c r="J3" s="412"/>
      <c r="K3" s="412"/>
      <c r="L3" s="412"/>
      <c r="M3" s="412"/>
      <c r="N3" s="412"/>
      <c r="O3" s="412"/>
      <c r="P3" s="412"/>
      <c r="Q3" s="412"/>
      <c r="R3" s="412"/>
    </row>
    <row r="4" customFormat="false" ht="15" hidden="false" customHeight="true" outlineLevel="0" collapsed="false">
      <c r="A4" s="413"/>
      <c r="B4" s="413"/>
      <c r="C4" s="413"/>
      <c r="D4" s="413"/>
      <c r="E4" s="413"/>
      <c r="F4" s="413"/>
      <c r="G4" s="413"/>
      <c r="H4" s="413"/>
      <c r="I4" s="413"/>
      <c r="J4" s="413"/>
      <c r="K4" s="413"/>
      <c r="L4" s="413"/>
      <c r="M4" s="413"/>
      <c r="N4" s="413"/>
      <c r="O4" s="413"/>
      <c r="P4" s="413"/>
      <c r="Q4" s="413"/>
      <c r="R4" s="413"/>
    </row>
    <row r="5" customFormat="false" ht="15" hidden="false" customHeight="true" outlineLevel="0" collapsed="false">
      <c r="A5" s="414" t="s">
        <v>443</v>
      </c>
      <c r="B5" s="414"/>
      <c r="C5" s="414"/>
      <c r="D5" s="414"/>
      <c r="E5" s="414"/>
      <c r="F5" s="414"/>
      <c r="G5" s="414"/>
      <c r="H5" s="414"/>
      <c r="I5" s="414"/>
      <c r="J5" s="414"/>
      <c r="K5" s="414"/>
      <c r="L5" s="414"/>
      <c r="M5" s="414"/>
      <c r="N5" s="414"/>
      <c r="O5" s="414"/>
      <c r="P5" s="414"/>
      <c r="Q5" s="25"/>
      <c r="R5" s="26" t="s">
        <v>16</v>
      </c>
      <c r="S5" s="415"/>
    </row>
    <row r="6" customFormat="false" ht="15" hidden="false" customHeight="true" outlineLevel="0" collapsed="false">
      <c r="A6" s="415"/>
      <c r="B6" s="415"/>
      <c r="C6" s="415"/>
      <c r="D6" s="415"/>
      <c r="E6" s="415"/>
      <c r="F6" s="415"/>
      <c r="G6" s="415"/>
      <c r="H6" s="415"/>
      <c r="I6" s="415"/>
      <c r="J6" s="415"/>
      <c r="K6" s="415"/>
      <c r="L6" s="415"/>
      <c r="M6" s="415"/>
      <c r="N6" s="415"/>
      <c r="O6" s="415"/>
      <c r="P6" s="415"/>
      <c r="Q6" s="415"/>
      <c r="R6" s="415"/>
      <c r="S6" s="415"/>
    </row>
    <row r="7" customFormat="false" ht="15" hidden="false" customHeight="true" outlineLevel="0" collapsed="false">
      <c r="A7" s="415"/>
      <c r="B7" s="415"/>
      <c r="C7" s="415"/>
      <c r="D7" s="415"/>
      <c r="E7" s="415"/>
      <c r="F7" s="415"/>
      <c r="G7" s="415"/>
      <c r="H7" s="415"/>
      <c r="I7" s="415"/>
      <c r="J7" s="415"/>
      <c r="K7" s="415"/>
      <c r="L7" s="415"/>
      <c r="M7" s="415"/>
      <c r="N7" s="415"/>
      <c r="O7" s="415"/>
      <c r="P7" s="415"/>
      <c r="Q7" s="415"/>
      <c r="R7" s="415"/>
      <c r="S7" s="415"/>
    </row>
    <row r="8" customFormat="false" ht="15" hidden="false" customHeight="true" outlineLevel="0" collapsed="false">
      <c r="A8" s="416" t="s">
        <v>444</v>
      </c>
      <c r="B8" s="416"/>
      <c r="C8" s="416"/>
      <c r="D8" s="416"/>
      <c r="E8" s="416"/>
      <c r="F8" s="416"/>
      <c r="G8" s="416"/>
      <c r="H8" s="416"/>
      <c r="I8" s="416"/>
      <c r="J8" s="416"/>
      <c r="K8" s="416"/>
      <c r="L8" s="416"/>
      <c r="M8" s="416"/>
      <c r="N8" s="416"/>
      <c r="O8" s="416"/>
      <c r="P8" s="416"/>
      <c r="Q8" s="416"/>
      <c r="R8" s="416"/>
      <c r="S8" s="415"/>
    </row>
    <row r="9" customFormat="false" ht="15" hidden="false" customHeight="true" outlineLevel="0" collapsed="false">
      <c r="A9" s="415"/>
      <c r="B9" s="415"/>
      <c r="C9" s="415"/>
      <c r="D9" s="415"/>
      <c r="E9" s="415"/>
      <c r="F9" s="415"/>
      <c r="G9" s="415"/>
      <c r="H9" s="415"/>
      <c r="I9" s="415"/>
      <c r="J9" s="415"/>
      <c r="K9" s="415"/>
      <c r="L9" s="415"/>
      <c r="M9" s="415"/>
      <c r="N9" s="415"/>
      <c r="O9" s="415"/>
      <c r="P9" s="415"/>
      <c r="Q9" s="415"/>
      <c r="R9" s="415"/>
      <c r="S9" s="415"/>
    </row>
    <row r="10" customFormat="false" ht="15" hidden="false" customHeight="true" outlineLevel="0" collapsed="false">
      <c r="A10" s="415"/>
      <c r="B10" s="415" t="s">
        <v>445</v>
      </c>
      <c r="C10" s="415"/>
      <c r="D10" s="415"/>
      <c r="E10" s="415"/>
      <c r="F10" s="415"/>
      <c r="G10" s="415"/>
      <c r="H10" s="415"/>
      <c r="I10" s="415"/>
      <c r="J10" s="415"/>
      <c r="K10" s="415"/>
      <c r="L10" s="415"/>
      <c r="M10" s="415"/>
      <c r="N10" s="415"/>
      <c r="O10" s="415"/>
      <c r="P10" s="415"/>
      <c r="Q10" s="415"/>
      <c r="R10" s="415"/>
      <c r="S10" s="415"/>
    </row>
    <row r="11" customFormat="false" ht="15" hidden="false" customHeight="true" outlineLevel="0" collapsed="false">
      <c r="A11" s="415"/>
      <c r="B11" s="415"/>
      <c r="C11" s="417" t="s">
        <v>446</v>
      </c>
      <c r="D11" s="417"/>
      <c r="E11" s="418" t="s">
        <v>447</v>
      </c>
      <c r="F11" s="418"/>
      <c r="G11" s="418"/>
      <c r="H11" s="418"/>
      <c r="I11" s="415"/>
      <c r="J11" s="415"/>
      <c r="K11" s="415"/>
      <c r="L11" s="415"/>
      <c r="M11" s="415"/>
      <c r="N11" s="415"/>
      <c r="O11" s="415"/>
      <c r="P11" s="415"/>
      <c r="Q11" s="415"/>
      <c r="R11" s="415"/>
      <c r="S11" s="415"/>
    </row>
    <row r="12" customFormat="false" ht="15" hidden="false" customHeight="true" outlineLevel="0" collapsed="false">
      <c r="A12" s="415"/>
      <c r="B12" s="415"/>
      <c r="C12" s="417"/>
      <c r="D12" s="417"/>
      <c r="E12" s="419"/>
      <c r="F12" s="415"/>
      <c r="G12" s="415"/>
      <c r="H12" s="415"/>
      <c r="I12" s="415"/>
      <c r="J12" s="415"/>
      <c r="K12" s="415"/>
      <c r="L12" s="415"/>
      <c r="M12" s="415"/>
      <c r="N12" s="415"/>
      <c r="O12" s="415"/>
      <c r="P12" s="415"/>
      <c r="Q12" s="415"/>
      <c r="R12" s="415"/>
      <c r="S12" s="415"/>
    </row>
    <row r="13" customFormat="false" ht="15" hidden="false" customHeight="true" outlineLevel="0" collapsed="false">
      <c r="A13" s="415"/>
      <c r="B13" s="415" t="s">
        <v>448</v>
      </c>
      <c r="C13" s="415"/>
      <c r="D13" s="415"/>
      <c r="E13" s="415"/>
      <c r="F13" s="415"/>
      <c r="G13" s="415"/>
      <c r="H13" s="415"/>
      <c r="I13" s="415"/>
      <c r="J13" s="415"/>
      <c r="K13" s="415"/>
      <c r="L13" s="415"/>
      <c r="M13" s="415"/>
      <c r="N13" s="415"/>
      <c r="O13" s="415"/>
      <c r="P13" s="415"/>
      <c r="Q13" s="415"/>
      <c r="R13" s="415"/>
      <c r="S13" s="415"/>
    </row>
    <row r="14" customFormat="false" ht="15" hidden="false" customHeight="true" outlineLevel="0" collapsed="false">
      <c r="A14" s="415"/>
      <c r="B14" s="415"/>
      <c r="C14" s="417" t="s">
        <v>449</v>
      </c>
      <c r="D14" s="417"/>
      <c r="E14" s="420" t="s">
        <v>16</v>
      </c>
      <c r="F14" s="420"/>
      <c r="G14" s="415"/>
      <c r="H14" s="415"/>
      <c r="I14" s="415"/>
      <c r="J14" s="415"/>
      <c r="K14" s="415"/>
      <c r="L14" s="415"/>
      <c r="M14" s="415"/>
      <c r="N14" s="415"/>
      <c r="O14" s="415"/>
      <c r="P14" s="415"/>
      <c r="Q14" s="415"/>
      <c r="R14" s="415"/>
      <c r="S14" s="415"/>
    </row>
    <row r="15" customFormat="false" ht="15" hidden="false" customHeight="true" outlineLevel="0" collapsed="false">
      <c r="A15" s="415"/>
      <c r="B15" s="415"/>
      <c r="C15" s="415"/>
      <c r="D15" s="415"/>
      <c r="E15" s="415"/>
      <c r="F15" s="415"/>
      <c r="G15" s="415"/>
      <c r="H15" s="415"/>
      <c r="I15" s="415"/>
      <c r="J15" s="415"/>
      <c r="K15" s="415"/>
      <c r="L15" s="415"/>
      <c r="M15" s="415"/>
      <c r="N15" s="415"/>
      <c r="O15" s="415"/>
      <c r="P15" s="415"/>
      <c r="Q15" s="415"/>
      <c r="R15" s="415"/>
      <c r="S15" s="415"/>
    </row>
    <row r="16" customFormat="false" ht="15" hidden="false" customHeight="true" outlineLevel="0" collapsed="false">
      <c r="A16" s="415"/>
      <c r="B16" s="415" t="s">
        <v>450</v>
      </c>
      <c r="C16" s="415"/>
      <c r="D16" s="415"/>
      <c r="E16" s="415"/>
      <c r="F16" s="415"/>
      <c r="G16" s="415"/>
      <c r="H16" s="415"/>
      <c r="I16" s="415"/>
      <c r="J16" s="415"/>
      <c r="K16" s="415"/>
      <c r="L16" s="415"/>
      <c r="M16" s="415"/>
      <c r="N16" s="415"/>
      <c r="O16" s="415"/>
      <c r="P16" s="415"/>
      <c r="Q16" s="415"/>
      <c r="R16" s="415"/>
      <c r="S16" s="415"/>
    </row>
    <row r="17" customFormat="false" ht="15" hidden="false" customHeight="true" outlineLevel="0" collapsed="false">
      <c r="A17" s="415"/>
      <c r="B17" s="415"/>
      <c r="C17" s="421"/>
      <c r="D17" s="421"/>
      <c r="E17" s="415"/>
      <c r="F17" s="415"/>
      <c r="G17" s="415"/>
      <c r="H17" s="415"/>
      <c r="I17" s="415"/>
      <c r="J17" s="415"/>
      <c r="K17" s="415"/>
      <c r="L17" s="415"/>
      <c r="M17" s="415"/>
      <c r="N17" s="415"/>
      <c r="O17" s="415"/>
      <c r="P17" s="415"/>
      <c r="Q17" s="415"/>
      <c r="R17" s="415"/>
      <c r="S17" s="415"/>
    </row>
    <row r="18" customFormat="false" ht="15" hidden="false" customHeight="true" outlineLevel="0" collapsed="false">
      <c r="A18" s="415"/>
      <c r="B18" s="415"/>
      <c r="C18" s="30" t="s">
        <v>19</v>
      </c>
      <c r="D18" s="30"/>
      <c r="E18" s="422" t="s">
        <v>451</v>
      </c>
      <c r="F18" s="415"/>
      <c r="G18" s="415"/>
      <c r="H18" s="415"/>
      <c r="I18" s="415"/>
      <c r="J18" s="415"/>
      <c r="K18" s="415"/>
      <c r="L18" s="415"/>
      <c r="M18" s="415"/>
      <c r="N18" s="415"/>
      <c r="O18" s="415"/>
      <c r="P18" s="415"/>
      <c r="Q18" s="415"/>
      <c r="R18" s="415"/>
      <c r="S18" s="415"/>
    </row>
    <row r="19" customFormat="false" ht="15" hidden="false" customHeight="true" outlineLevel="0" collapsed="false">
      <c r="A19" s="415"/>
      <c r="B19" s="415"/>
      <c r="C19" s="31" t="s">
        <v>19</v>
      </c>
      <c r="D19" s="31"/>
      <c r="E19" s="422" t="s">
        <v>452</v>
      </c>
      <c r="F19" s="415"/>
      <c r="G19" s="415"/>
      <c r="H19" s="415"/>
      <c r="I19" s="415"/>
      <c r="J19" s="415"/>
      <c r="K19" s="415"/>
      <c r="L19" s="415"/>
      <c r="M19" s="415"/>
      <c r="N19" s="415"/>
      <c r="O19" s="415"/>
      <c r="P19" s="415"/>
      <c r="Q19" s="415"/>
      <c r="R19" s="415"/>
      <c r="S19" s="415"/>
    </row>
    <row r="20" customFormat="false" ht="15" hidden="false" customHeight="true" outlineLevel="0" collapsed="false">
      <c r="A20" s="415"/>
      <c r="B20" s="415"/>
      <c r="C20" s="415"/>
      <c r="D20" s="415"/>
      <c r="E20" s="415"/>
      <c r="F20" s="415"/>
      <c r="G20" s="415"/>
      <c r="H20" s="415"/>
      <c r="I20" s="415"/>
      <c r="J20" s="415"/>
      <c r="K20" s="415"/>
      <c r="L20" s="415"/>
      <c r="M20" s="415"/>
      <c r="N20" s="415"/>
      <c r="O20" s="415"/>
      <c r="P20" s="415"/>
      <c r="Q20" s="415"/>
      <c r="R20" s="415"/>
      <c r="S20" s="415"/>
    </row>
    <row r="21" customFormat="false" ht="15" hidden="false" customHeight="true" outlineLevel="0" collapsed="false">
      <c r="A21" s="415"/>
      <c r="B21" s="415"/>
      <c r="C21" s="415"/>
      <c r="D21" s="415"/>
      <c r="E21" s="415"/>
      <c r="F21" s="415"/>
      <c r="G21" s="415"/>
      <c r="H21" s="415"/>
      <c r="I21" s="415"/>
      <c r="J21" s="415"/>
      <c r="K21" s="415"/>
      <c r="L21" s="415"/>
      <c r="M21" s="415"/>
      <c r="N21" s="415"/>
      <c r="O21" s="415"/>
      <c r="P21" s="415"/>
      <c r="Q21" s="415"/>
      <c r="R21" s="415"/>
      <c r="S21" s="415"/>
    </row>
    <row r="22" customFormat="false" ht="15" hidden="false" customHeight="true" outlineLevel="0" collapsed="false">
      <c r="A22" s="415"/>
      <c r="B22" s="415"/>
      <c r="C22" s="415"/>
      <c r="D22" s="415"/>
      <c r="E22" s="415"/>
      <c r="F22" s="415"/>
      <c r="G22" s="415"/>
      <c r="H22" s="415"/>
      <c r="I22" s="415"/>
      <c r="J22" s="415"/>
      <c r="K22" s="415"/>
      <c r="L22" s="415"/>
      <c r="M22" s="415"/>
      <c r="N22" s="415"/>
      <c r="O22" s="415"/>
      <c r="P22" s="415"/>
      <c r="Q22" s="415"/>
      <c r="R22" s="415"/>
      <c r="S22" s="415"/>
    </row>
    <row r="23" customFormat="false" ht="15" hidden="false" customHeight="true" outlineLevel="0" collapsed="false">
      <c r="A23" s="1"/>
      <c r="B23" s="1"/>
      <c r="C23" s="1"/>
      <c r="D23" s="1"/>
      <c r="E23" s="1"/>
      <c r="F23" s="1"/>
      <c r="G23" s="1"/>
      <c r="H23" s="1"/>
      <c r="I23" s="1"/>
      <c r="J23" s="1"/>
      <c r="K23" s="1"/>
      <c r="L23" s="1"/>
      <c r="M23" s="1"/>
      <c r="N23" s="1"/>
      <c r="O23" s="1"/>
      <c r="P23" s="1"/>
      <c r="Q23" s="1"/>
      <c r="R23" s="1"/>
      <c r="S23" s="1"/>
    </row>
    <row r="24" customFormat="false" ht="15" hidden="false" customHeight="true" outlineLevel="0" collapsed="false">
      <c r="A24" s="1"/>
      <c r="B24" s="1"/>
      <c r="C24" s="1"/>
      <c r="D24" s="1"/>
      <c r="E24" s="1"/>
      <c r="F24" s="1"/>
      <c r="G24" s="1"/>
      <c r="H24" s="1"/>
      <c r="I24" s="1"/>
      <c r="J24" s="1"/>
      <c r="K24" s="1"/>
      <c r="L24" s="1"/>
      <c r="M24" s="1"/>
      <c r="N24" s="1"/>
      <c r="O24" s="1"/>
      <c r="P24" s="1"/>
      <c r="Q24" s="1"/>
      <c r="R24" s="1"/>
      <c r="S24" s="1"/>
    </row>
    <row r="25" customFormat="false" ht="15" hidden="false" customHeight="true" outlineLevel="0" collapsed="false">
      <c r="A25" s="1"/>
      <c r="B25" s="1"/>
      <c r="C25" s="1"/>
      <c r="D25" s="1"/>
      <c r="E25" s="1"/>
      <c r="F25" s="1"/>
      <c r="G25" s="1"/>
      <c r="H25" s="1"/>
      <c r="I25" s="1"/>
      <c r="J25" s="1"/>
      <c r="K25" s="1"/>
      <c r="L25" s="1"/>
      <c r="M25" s="1"/>
      <c r="N25" s="1"/>
      <c r="O25" s="1"/>
      <c r="P25" s="1"/>
      <c r="Q25" s="1"/>
      <c r="R25" s="1"/>
      <c r="S25" s="1"/>
    </row>
    <row r="26" customFormat="false" ht="15" hidden="false" customHeight="true" outlineLevel="0" collapsed="false">
      <c r="A26" s="1"/>
      <c r="B26" s="1"/>
      <c r="C26" s="1"/>
      <c r="D26" s="1"/>
      <c r="E26" s="1"/>
      <c r="F26" s="1"/>
      <c r="G26" s="1"/>
      <c r="H26" s="1"/>
      <c r="I26" s="1"/>
      <c r="J26" s="1"/>
      <c r="K26" s="1"/>
      <c r="L26" s="1"/>
      <c r="M26" s="1"/>
      <c r="N26" s="1"/>
      <c r="O26" s="1"/>
      <c r="P26" s="1"/>
      <c r="Q26" s="1"/>
      <c r="R26" s="1"/>
      <c r="S26" s="1"/>
    </row>
  </sheetData>
  <sheetProtection sheet="true" objects="true" scenarios="true" selectLockedCells="true"/>
  <mergeCells count="12">
    <mergeCell ref="A1:R3"/>
    <mergeCell ref="A4:R4"/>
    <mergeCell ref="A5:P5"/>
    <mergeCell ref="A8:R8"/>
    <mergeCell ref="C11:D11"/>
    <mergeCell ref="E11:H11"/>
    <mergeCell ref="C12:D12"/>
    <mergeCell ref="C14:D14"/>
    <mergeCell ref="E14:F14"/>
    <mergeCell ref="C17:D17"/>
    <mergeCell ref="C18:D18"/>
    <mergeCell ref="C19:D19"/>
  </mergeCells>
  <hyperlinks>
    <hyperlink ref="A5" r:id="rId1" display="For any futher assistance on this tool, please post your question in the following forum - E2E Precision Data Converters Forum"/>
    <hyperlink ref="R5" location="'Table of Contents'!A1" display="Table of Contents"/>
    <hyperlink ref="E11" r:id="rId2" display="https://www.ti.com/product/ADS1220"/>
    <hyperlink ref="E14" location="'Table of Contents'!A1" display="Table of Cont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docProps/app.xml><?xml version="1.0" encoding="utf-8"?>
<Properties xmlns="http://schemas.openxmlformats.org/officeDocument/2006/extended-properties" xmlns:vt="http://schemas.openxmlformats.org/officeDocument/2006/docPropsVTypes">
  <Template/>
  <TotalTime>17</TotalTime>
  <Application>LibreOffice/26.2.5.2$Windows_X86_64 LibreOffice_project/cd7284b4cbbfeb507e630c1aac019f4157393acb</Application>
  <AppVersion>15.0000</AppVersion>
  <Company>Texas Instruments Incorporated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2013-02-08T23:58:50Z</dcterms:created>
  <dc:creator>Joachim Wurker</dc:creator>
  <dc:description/>
  <dc:language>es-CO</dc:language>
  <cp:lastModifiedBy/>
  <dcterms:modified xsi:type="dcterms:W3CDTF">2026-09-04T23:41:47Z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